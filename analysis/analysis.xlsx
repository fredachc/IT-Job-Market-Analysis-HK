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oyh012.APAC\Desktop\New folder (2)\"/>
    </mc:Choice>
  </mc:AlternateContent>
  <xr:revisionPtr revIDLastSave="0" documentId="13_ncr:1_{3D364B64-1510-41C0-8E51-ACD4A81A43C3}" xr6:coauthVersionLast="47" xr6:coauthVersionMax="47" xr10:uidLastSave="{00000000-0000-0000-0000-000000000000}"/>
  <bookViews>
    <workbookView xWindow="-120" yWindow="-120" windowWidth="29040" windowHeight="15720" activeTab="2" xr2:uid="{27234F9E-57A2-4092-99F9-CA45110EFF8D}"/>
  </bookViews>
  <sheets>
    <sheet name="Data" sheetId="1" r:id="rId1"/>
    <sheet name="HK 18 Districts by Area Type" sheetId="14" r:id="rId2"/>
    <sheet name="analysis" sheetId="4" r:id="rId3"/>
  </sheets>
  <definedNames>
    <definedName name="_xlnm._FilterDatabase" localSheetId="0" hidden="1">Data!$A$1:$K$61</definedName>
  </definedNames>
  <calcPr calcId="191029"/>
  <pivotCaches>
    <pivotCache cacheId="1" r:id="rId4"/>
    <pivotCache cacheId="2" r:id="rId5"/>
    <pivotCache cacheId="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2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2" i="1"/>
</calcChain>
</file>

<file path=xl/sharedStrings.xml><?xml version="1.0" encoding="utf-8"?>
<sst xmlns="http://schemas.openxmlformats.org/spreadsheetml/2006/main" count="553" uniqueCount="214">
  <si>
    <t>Platform</t>
  </si>
  <si>
    <t>Title</t>
  </si>
  <si>
    <t>Salary</t>
  </si>
  <si>
    <t>Skill</t>
  </si>
  <si>
    <t>Experience</t>
  </si>
  <si>
    <t>Degree</t>
  </si>
  <si>
    <t>Job Type</t>
  </si>
  <si>
    <t>Benefits</t>
  </si>
  <si>
    <t>Location</t>
  </si>
  <si>
    <t>System Analyst</t>
  </si>
  <si>
    <t>API,IBM,Kafka,Solace,SOA</t>
  </si>
  <si>
    <t>No</t>
  </si>
  <si>
    <t>Systems Analysts</t>
  </si>
  <si>
    <t>Medical,Statutory Leave</t>
  </si>
  <si>
    <t>Islands</t>
  </si>
  <si>
    <t xml:space="preserve">Senior System Analyst </t>
  </si>
  <si>
    <t>WAF,SDN,CISCO</t>
  </si>
  <si>
    <t>Networks &amp; Systems Administration</t>
  </si>
  <si>
    <t>Wan Chai</t>
  </si>
  <si>
    <t>Senior Technical System engineer (Cloud)</t>
  </si>
  <si>
    <t>DevOps,API,AKS,K8S,OpenShift</t>
  </si>
  <si>
    <t>Yes</t>
  </si>
  <si>
    <t>Wong Tai Sin</t>
  </si>
  <si>
    <t xml:space="preserve">System Controller Manager </t>
  </si>
  <si>
    <t>Linux,Unix,ERP</t>
  </si>
  <si>
    <t>Programme &amp; Project Management</t>
  </si>
  <si>
    <t>IT officer</t>
  </si>
  <si>
    <t>WordPress,WeCom,VOIP</t>
  </si>
  <si>
    <t>Help Desk &amp; IT Support</t>
  </si>
  <si>
    <t>13th Month Salaries,Overtime pay</t>
  </si>
  <si>
    <t>Yau Tsim Mong</t>
  </si>
  <si>
    <t>Support Analyst</t>
  </si>
  <si>
    <t>java,SQL,Hibernate,Spring,Oracle</t>
  </si>
  <si>
    <t>5-day Work Week</t>
  </si>
  <si>
    <t>Senior Deskside Support Engineer</t>
  </si>
  <si>
    <t>windows OS platform,Apple MAC OS platform</t>
  </si>
  <si>
    <t>Engineering - Software</t>
  </si>
  <si>
    <t>Senior IT Officer</t>
  </si>
  <si>
    <t>Vmware,HyperV,Azure,AWS</t>
  </si>
  <si>
    <t>Tai Po</t>
  </si>
  <si>
    <t>Java Data Architect</t>
  </si>
  <si>
    <t>java,Kafka,Hadoop,DevOps</t>
  </si>
  <si>
    <t>Developers/Programmers</t>
  </si>
  <si>
    <t>Analyst Programmer</t>
  </si>
  <si>
    <t>Python,NodeJS,JAVA Spring Boot,JavaScript,ReactJS,CSS</t>
  </si>
  <si>
    <t>Kwun Tong</t>
  </si>
  <si>
    <t>Windows,cloud,networking</t>
  </si>
  <si>
    <t>Central and Western</t>
  </si>
  <si>
    <t>Technical System Engineer</t>
  </si>
  <si>
    <t>ITSM,CMDB</t>
  </si>
  <si>
    <t>Systems Engineer - Financial Services</t>
  </si>
  <si>
    <t>Windows,networking</t>
  </si>
  <si>
    <t>C#,JavaScript,API</t>
  </si>
  <si>
    <t>Double pay,Medical</t>
  </si>
  <si>
    <t>Yuen Long</t>
  </si>
  <si>
    <t>AI Platform Infra Architect</t>
  </si>
  <si>
    <t>LLMOps,RoCE/IB,DevOpes,API</t>
  </si>
  <si>
    <t>Firmware Software Engineer</t>
  </si>
  <si>
    <t>PLC,Modbus,MQTT,C#</t>
  </si>
  <si>
    <t>Tsuen Wan</t>
  </si>
  <si>
    <t>Technical Manager (Enterprise Storage)</t>
  </si>
  <si>
    <t>Windows,Linux</t>
  </si>
  <si>
    <t>Team Leaders</t>
  </si>
  <si>
    <t>API,EMS,Java</t>
  </si>
  <si>
    <t>Medical,5-day Work Week</t>
  </si>
  <si>
    <t>AI Technical Director</t>
  </si>
  <si>
    <t>cloud,big data,software development</t>
  </si>
  <si>
    <t>Management</t>
  </si>
  <si>
    <t>Contract Data Governance Manager</t>
  </si>
  <si>
    <t>Data Governance,Develop, monitor,continuously</t>
  </si>
  <si>
    <t>Database Development &amp; Administration</t>
  </si>
  <si>
    <t>Ctgoodjobs</t>
  </si>
  <si>
    <t>QA Engineer</t>
  </si>
  <si>
    <t>LLM,GitLab,Jenkins,API,Cypress,Selenium,Playwright,TestRail,Zephyr,JavaScript,typeScript,Reac</t>
  </si>
  <si>
    <t>Quality Assurance</t>
  </si>
  <si>
    <t>Kwai Tsing</t>
  </si>
  <si>
    <t>AI Application Developer</t>
  </si>
  <si>
    <t>AI,CNN,AWS,Azure</t>
  </si>
  <si>
    <t>Software / Web Developer</t>
  </si>
  <si>
    <t>Southern</t>
  </si>
  <si>
    <t>Junior Automation Engineer</t>
  </si>
  <si>
    <t>Python,JavaScript,PowerShell</t>
  </si>
  <si>
    <t xml:space="preserve">Senior Network Support </t>
  </si>
  <si>
    <t>Windows,Linux,Vmware,TCP,VPN</t>
  </si>
  <si>
    <t>Network Engineer</t>
  </si>
  <si>
    <t>Deskside Engineer</t>
  </si>
  <si>
    <t>Windows,IOS</t>
  </si>
  <si>
    <t>Systems / Technical Support</t>
  </si>
  <si>
    <t>Database Administrator</t>
  </si>
  <si>
    <t>Mysql, sql</t>
  </si>
  <si>
    <t>5-day Work Week,Medical</t>
  </si>
  <si>
    <t>Kowloon City</t>
  </si>
  <si>
    <t>System Administrator</t>
  </si>
  <si>
    <t>REST,SOAP,JDBC,MQ,sql</t>
  </si>
  <si>
    <t>IT Helpdesk</t>
  </si>
  <si>
    <t>Windows,Active Directory</t>
  </si>
  <si>
    <t>Data Centre Operator</t>
  </si>
  <si>
    <t>Data Center operation</t>
  </si>
  <si>
    <t>Technical Support</t>
  </si>
  <si>
    <t>Junior IT Support</t>
  </si>
  <si>
    <t>Blackberry,iOS,Android</t>
  </si>
  <si>
    <t>System Support Engineer</t>
  </si>
  <si>
    <t>Windows,Linux,VMware</t>
  </si>
  <si>
    <t>System Engineer</t>
  </si>
  <si>
    <t>Cybersecurity Manager</t>
  </si>
  <si>
    <t>SIEM,NGFW,WAF,XDR,SOAR,UEBA,API,TVM,K8S</t>
  </si>
  <si>
    <t>System Engineer / Network Engineer</t>
  </si>
  <si>
    <t>Network Specialist</t>
  </si>
  <si>
    <t>IP,WAF,SND,web</t>
  </si>
  <si>
    <t>Software Engineer</t>
  </si>
  <si>
    <t>SIT,UAT,LangChain,Llamlandex,CrewAI,AutoGen,JavaScript</t>
  </si>
  <si>
    <t>Assistant IT Officer</t>
  </si>
  <si>
    <t>Windows,Microsoft Office</t>
  </si>
  <si>
    <t>Program Manager-Insurance</t>
  </si>
  <si>
    <t>POS</t>
  </si>
  <si>
    <t>IT / Project Manager</t>
  </si>
  <si>
    <t>IT Support Engineer</t>
  </si>
  <si>
    <t>ERP Solutions Engineer</t>
  </si>
  <si>
    <t>Microsoft,JSON,XML,CSV</t>
  </si>
  <si>
    <t>5-day Work Week,Discretionary bonus</t>
  </si>
  <si>
    <t>Developer - IBM Maximo</t>
  </si>
  <si>
    <t>MIF,MEA,API,maximo,JavaScript,Python</t>
  </si>
  <si>
    <t>Onsite Support Engineer</t>
  </si>
  <si>
    <t>Windows,Mac,networking</t>
  </si>
  <si>
    <t>Recruit</t>
  </si>
  <si>
    <t>GPO,AD,ITIL</t>
  </si>
  <si>
    <t>Web Developer</t>
  </si>
  <si>
    <t>SQL,PHP,Javascript,Linux</t>
  </si>
  <si>
    <t>CCNA,CCNP,Microsoft</t>
  </si>
  <si>
    <t>IT Engineer</t>
  </si>
  <si>
    <t>Windows</t>
  </si>
  <si>
    <t>Data Center Operator</t>
  </si>
  <si>
    <t>data center operations</t>
  </si>
  <si>
    <t>Programmer - .Net</t>
  </si>
  <si>
    <t>C#,C++,XML,Swagger,Docker</t>
  </si>
  <si>
    <t>IT System Support</t>
  </si>
  <si>
    <t>CCNA,Linux,CCNP</t>
  </si>
  <si>
    <t>IT Assistant</t>
  </si>
  <si>
    <t>Sai Kung</t>
  </si>
  <si>
    <t>IT Assistant/Technician</t>
  </si>
  <si>
    <t>Windows, networking</t>
  </si>
  <si>
    <t>Java Developer</t>
  </si>
  <si>
    <t>cloud-based, web</t>
  </si>
  <si>
    <t>WLAN,VLAN,STP,RSTP,MSTP</t>
  </si>
  <si>
    <t>Eastern</t>
  </si>
  <si>
    <t>Computer Operator</t>
  </si>
  <si>
    <t>network,data centre</t>
  </si>
  <si>
    <t>Technician</t>
  </si>
  <si>
    <t>TCP/IP,Linux,CCNA/CCVP</t>
  </si>
  <si>
    <t>Junior Technician</t>
  </si>
  <si>
    <t>Sham Shui Po</t>
  </si>
  <si>
    <t>Python Developer</t>
  </si>
  <si>
    <t>python</t>
  </si>
  <si>
    <t>C#,SQL,ASP</t>
  </si>
  <si>
    <t>System Analysis</t>
  </si>
  <si>
    <t>CSS,angular,nodejs</t>
  </si>
  <si>
    <t>CSS,nodejs,database,docker</t>
  </si>
  <si>
    <t>Project Manager</t>
  </si>
  <si>
    <t>AI Developer</t>
  </si>
  <si>
    <t>AI,LLM,Python,java</t>
  </si>
  <si>
    <t>Row Labels</t>
  </si>
  <si>
    <t>Grand Total</t>
  </si>
  <si>
    <t>Average of Salary</t>
  </si>
  <si>
    <t>Count</t>
  </si>
  <si>
    <t>Jobsdb</t>
  </si>
  <si>
    <t>Experience Group</t>
  </si>
  <si>
    <t>0-1</t>
  </si>
  <si>
    <t>1-3</t>
  </si>
  <si>
    <t>3-5</t>
  </si>
  <si>
    <t>5+</t>
  </si>
  <si>
    <t>Average of Experience</t>
  </si>
  <si>
    <t>區域性質（建議分類）</t>
  </si>
  <si>
    <t>原因與特徵（簡述）</t>
  </si>
  <si>
    <t>中環、上環，金融／IT／總部集中</t>
  </si>
  <si>
    <t>灣仔、會展、寫字樓密集</t>
  </si>
  <si>
    <t>北角、鰂魚涌（寫字樓 + 住宅）</t>
  </si>
  <si>
    <t>香港仔、黃竹坑（住宅為主，少量工業）</t>
  </si>
  <si>
    <t>尖沙咀、旺角，零售＋辦公</t>
  </si>
  <si>
    <t>工廈、IT 零售、創科空間</t>
  </si>
  <si>
    <t>純住宅為主（紅磡例外）</t>
  </si>
  <si>
    <t>公屋／居住區</t>
  </si>
  <si>
    <t>觀塘、牛頭角，工廈 + IT 公司</t>
  </si>
  <si>
    <t>將軍澳（大型住宅新市鎮）</t>
  </si>
  <si>
    <t>荃灣工貿混合、工廈多</t>
  </si>
  <si>
    <t>葵涌貨櫃碼頭、物流、工業</t>
  </si>
  <si>
    <t>Tuen Mun</t>
  </si>
  <si>
    <t>工業邨、物流、數據中心</t>
  </si>
  <si>
    <t>新市鎮、居住為主</t>
  </si>
  <si>
    <t>North</t>
  </si>
  <si>
    <t>上水、粉嶺，新界住宅</t>
  </si>
  <si>
    <t>大埔工業邨 + 住宅</t>
  </si>
  <si>
    <t>Sha Tin</t>
  </si>
  <si>
    <t>科學園 + 住宅</t>
  </si>
  <si>
    <t>機場、航運、數據中心</t>
  </si>
  <si>
    <t>Area Type</t>
  </si>
  <si>
    <t>Commercial</t>
  </si>
  <si>
    <t>Mixed-use</t>
  </si>
  <si>
    <t>Residential</t>
  </si>
  <si>
    <t>Industrial</t>
  </si>
  <si>
    <t>Count of Job</t>
  </si>
  <si>
    <t>Benefits Score</t>
  </si>
  <si>
    <t>18 Districts</t>
  </si>
  <si>
    <t>Median of Salary</t>
  </si>
  <si>
    <t>Salary Comparison Across Job Platforms</t>
  </si>
  <si>
    <t>Salary by Experience Level</t>
  </si>
  <si>
    <t>Impact of Degree Requirement on Salary</t>
  </si>
  <si>
    <t>Impact of Experience Level on Salary</t>
  </si>
  <si>
    <t>Average Experience Requirement by Platform</t>
  </si>
  <si>
    <t/>
  </si>
  <si>
    <t>Degree-Y&amp;N</t>
  </si>
  <si>
    <t>Degree Requirement Distribution by Platform</t>
  </si>
  <si>
    <t>%</t>
  </si>
  <si>
    <t>Distribution of IT Jobs by Location</t>
  </si>
  <si>
    <t>The Relationship Between Salary and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</si>
</sst>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Aptos Narrow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color theme="1"/>
      <name val="Segoe UI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44" fontId="0" fillId="2" borderId="0" xfId="0" applyNumberFormat="1" applyFill="1"/>
    <xf numFmtId="0" fontId="0" fillId="2" borderId="0" xfId="0" pivotButton="1" applyFill="1"/>
    <xf numFmtId="0" fontId="0" fillId="2" borderId="4" xfId="0" applyFill="1" applyBorder="1"/>
    <xf numFmtId="0" fontId="0" fillId="2" borderId="5" xfId="0" applyFill="1" applyBorder="1"/>
    <xf numFmtId="0" fontId="0" fillId="2" borderId="4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44" fontId="0" fillId="2" borderId="7" xfId="0" applyNumberFormat="1" applyFill="1" applyBorder="1"/>
    <xf numFmtId="0" fontId="0" fillId="2" borderId="4" xfId="0" pivotButton="1" applyFill="1" applyBorder="1"/>
    <xf numFmtId="10" fontId="0" fillId="0" borderId="0" xfId="0" applyNumberFormat="1"/>
    <xf numFmtId="0" fontId="3" fillId="0" borderId="9" xfId="0" applyFont="1" applyBorder="1" applyAlignment="1">
      <alignment vertical="center" wrapText="1"/>
    </xf>
    <xf numFmtId="0" fontId="0" fillId="0" borderId="0" xfId="0" applyFont="1"/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44" fontId="0" fillId="2" borderId="0" xfId="0" applyNumberForma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44" fontId="4" fillId="3" borderId="0" xfId="0" applyNumberFormat="1" applyFont="1" applyFill="1" applyBorder="1"/>
    <xf numFmtId="0" fontId="5" fillId="2" borderId="0" xfId="0" applyFont="1" applyFill="1" applyBorder="1" applyAlignment="1">
      <alignment horizontal="center" vertical="center"/>
    </xf>
    <xf numFmtId="0" fontId="0" fillId="0" borderId="0" xfId="0" pivotButton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0" fillId="2" borderId="0" xfId="0" pivotButton="1" applyFill="1" applyBorder="1"/>
    <xf numFmtId="0" fontId="5" fillId="2" borderId="7" xfId="0" applyFont="1" applyFill="1" applyBorder="1" applyAlignment="1">
      <alignment horizontal="center"/>
    </xf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0" fillId="2" borderId="5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left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84"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oy, Freda" refreshedDate="46132.453489236112" createdVersion="8" refreshedVersion="8" minRefreshableVersion="3" recordCount="60" xr:uid="{2E59500B-ACFC-4C97-9C48-7583AE28C4D1}">
  <cacheSource type="worksheet">
    <worksheetSource ref="A1:J61" sheet="Data"/>
  </cacheSource>
  <cacheFields count="10">
    <cacheField name="Platform" numFmtId="0">
      <sharedItems count="3">
        <s v="Jobsdb"/>
        <s v="Ctgoodjobs"/>
        <s v="Recruit"/>
      </sharedItems>
    </cacheField>
    <cacheField name="Title" numFmtId="0">
      <sharedItems/>
    </cacheField>
    <cacheField name="Salary" numFmtId="0">
      <sharedItems containsSemiMixedTypes="0" containsString="0" containsNumber="1" containsInteger="1" minValue="15500" maxValue="111000"/>
    </cacheField>
    <cacheField name="Skill" numFmtId="0">
      <sharedItems/>
    </cacheField>
    <cacheField name="Experience" numFmtId="0">
      <sharedItems containsSemiMixedTypes="0" containsString="0" containsNumber="1" containsInteger="1" minValue="0" maxValue="15" count="11">
        <n v="6"/>
        <n v="10"/>
        <n v="5"/>
        <n v="2"/>
        <n v="3"/>
        <n v="15"/>
        <n v="7"/>
        <n v="4"/>
        <n v="8"/>
        <n v="0"/>
        <n v="1"/>
      </sharedItems>
    </cacheField>
    <cacheField name="Degree" numFmtId="0">
      <sharedItems count="2">
        <s v="No"/>
        <s v="Yes"/>
      </sharedItems>
    </cacheField>
    <cacheField name="Job Type" numFmtId="0">
      <sharedItems/>
    </cacheField>
    <cacheField name="Benefits" numFmtId="0">
      <sharedItems containsBlank="1"/>
    </cacheField>
    <cacheField name="Location" numFmtId="0">
      <sharedItems/>
    </cacheField>
    <cacheField name="Experience Group" numFmtId="0">
      <sharedItems count="4">
        <s v="5+"/>
        <s v="3-5"/>
        <s v="1-3"/>
        <s v="0-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oy, Freda" refreshedDate="46132.580428125002" createdVersion="8" refreshedVersion="8" minRefreshableVersion="3" recordCount="60" xr:uid="{433C1F6A-2A72-4830-88B8-4CC8CE444E03}">
  <cacheSource type="worksheet">
    <worksheetSource ref="A1:K61" sheet="Data"/>
  </cacheSource>
  <cacheFields count="11">
    <cacheField name="Platform" numFmtId="0">
      <sharedItems/>
    </cacheField>
    <cacheField name="Title" numFmtId="0">
      <sharedItems/>
    </cacheField>
    <cacheField name="Salary" numFmtId="0">
      <sharedItems containsSemiMixedTypes="0" containsString="0" containsNumber="1" containsInteger="1" minValue="15500" maxValue="111000"/>
    </cacheField>
    <cacheField name="Skill" numFmtId="0">
      <sharedItems/>
    </cacheField>
    <cacheField name="Experience" numFmtId="0">
      <sharedItems containsSemiMixedTypes="0" containsString="0" containsNumber="1" containsInteger="1" minValue="0" maxValue="15"/>
    </cacheField>
    <cacheField name="Degree" numFmtId="0">
      <sharedItems/>
    </cacheField>
    <cacheField name="Job Type" numFmtId="0">
      <sharedItems/>
    </cacheField>
    <cacheField name="Benefits" numFmtId="0">
      <sharedItems containsBlank="1"/>
    </cacheField>
    <cacheField name="Location" numFmtId="0">
      <sharedItems count="15">
        <s v="Islands"/>
        <s v="Wan Chai"/>
        <s v="Wong Tai Sin"/>
        <s v="Sham Shui Po"/>
        <s v="Yau Tsim Mong"/>
        <s v="Kwun Tong"/>
        <s v="Tai Po"/>
        <s v="Southern"/>
        <s v="Central and Western"/>
        <s v="Yuen Long"/>
        <s v="Tsuen Wan"/>
        <s v="Kwai Tsing"/>
        <s v="Kowloon City"/>
        <s v="Sai Kung"/>
        <s v="Eastern"/>
      </sharedItems>
    </cacheField>
    <cacheField name="Experience Group" numFmtId="0">
      <sharedItems/>
    </cacheField>
    <cacheField name="Area Type" numFmtId="0">
      <sharedItems count="4">
        <s v="Industrial"/>
        <s v="Commercial"/>
        <s v="Residential"/>
        <s v="Mixed-us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oy, Freda" refreshedDate="46132.588917824076" createdVersion="8" refreshedVersion="8" minRefreshableVersion="3" recordCount="60" xr:uid="{451E52B4-E202-45EA-902F-EFB81EBAE1A9}">
  <cacheSource type="worksheet">
    <worksheetSource ref="A1:L61" sheet="Data"/>
  </cacheSource>
  <cacheFields count="12">
    <cacheField name="Platform" numFmtId="0">
      <sharedItems/>
    </cacheField>
    <cacheField name="Title" numFmtId="0">
      <sharedItems/>
    </cacheField>
    <cacheField name="Salary" numFmtId="0">
      <sharedItems containsSemiMixedTypes="0" containsString="0" containsNumber="1" containsInteger="1" minValue="15500" maxValue="111000"/>
    </cacheField>
    <cacheField name="Skill" numFmtId="0">
      <sharedItems/>
    </cacheField>
    <cacheField name="Experience" numFmtId="0">
      <sharedItems containsSemiMixedTypes="0" containsString="0" containsNumber="1" containsInteger="1" minValue="0" maxValue="15"/>
    </cacheField>
    <cacheField name="Degree" numFmtId="0">
      <sharedItems/>
    </cacheField>
    <cacheField name="Job Type" numFmtId="0">
      <sharedItems/>
    </cacheField>
    <cacheField name="Benefits" numFmtId="0">
      <sharedItems containsBlank="1"/>
    </cacheField>
    <cacheField name="Location" numFmtId="0">
      <sharedItems/>
    </cacheField>
    <cacheField name="Experience Group" numFmtId="0">
      <sharedItems/>
    </cacheField>
    <cacheField name="Area Type" numFmtId="0">
      <sharedItems/>
    </cacheField>
    <cacheField name="Benefits Score" numFmtId="0">
      <sharedItems containsSemiMixedTypes="0" containsString="0" containsNumber="1" containsInteger="1" minValue="0" maxValue="2" count="3">
        <n v="2"/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System Analyst"/>
    <n v="45000"/>
    <s v="API,IBM,Kafka,Solace,SOA"/>
    <x v="0"/>
    <x v="0"/>
    <s v="Systems Analysts"/>
    <s v="Medical,Statutory Leave"/>
    <s v="Islands"/>
    <x v="0"/>
  </r>
  <r>
    <x v="0"/>
    <s v="Senior System Analyst "/>
    <n v="71500"/>
    <s v="WAF,SDN,CISCO"/>
    <x v="1"/>
    <x v="0"/>
    <s v="Networks &amp; Systems Administration"/>
    <m/>
    <s v="Wan Chai"/>
    <x v="0"/>
  </r>
  <r>
    <x v="0"/>
    <s v="Senior Technical System engineer (Cloud)"/>
    <n v="52500"/>
    <s v="DevOps,API,AKS,K8S,OpenShift"/>
    <x v="2"/>
    <x v="1"/>
    <s v="Networks &amp; Systems Administration"/>
    <m/>
    <s v="Wong Tai Sin"/>
    <x v="1"/>
  </r>
  <r>
    <x v="0"/>
    <s v="System Controller Manager "/>
    <n v="55000"/>
    <s v="Linux,Unix,ERP"/>
    <x v="2"/>
    <x v="0"/>
    <s v="Programme &amp; Project Management"/>
    <m/>
    <s v="Cheung Sha Wan"/>
    <x v="1"/>
  </r>
  <r>
    <x v="0"/>
    <s v="IT officer"/>
    <n v="25000"/>
    <s v="WordPress,WeCom,VOIP"/>
    <x v="3"/>
    <x v="0"/>
    <s v="Help Desk &amp; IT Support"/>
    <s v="13th Month Salaries,Overtime pay"/>
    <s v="Yau Tsim Mong"/>
    <x v="2"/>
  </r>
  <r>
    <x v="0"/>
    <s v="Support Analyst"/>
    <n v="45000"/>
    <s v="java,SQL,Hibernate,Spring,Oracle"/>
    <x v="3"/>
    <x v="1"/>
    <s v="Help Desk &amp; IT Support"/>
    <s v="5-day Work Week"/>
    <s v="Kowloon Bay"/>
    <x v="2"/>
  </r>
  <r>
    <x v="0"/>
    <s v="Senior Deskside Support Engineer"/>
    <n v="25000"/>
    <s v="windows OS platform,Apple MAC OS platform"/>
    <x v="4"/>
    <x v="0"/>
    <s v="Engineering - Software"/>
    <s v="5-day Work Week"/>
    <s v="Yau Tsim Mong"/>
    <x v="2"/>
  </r>
  <r>
    <x v="0"/>
    <s v="Senior IT Officer"/>
    <n v="33500"/>
    <s v="Vmware,HyperV,Azure,AWS"/>
    <x v="4"/>
    <x v="1"/>
    <s v="Programme &amp; Project Management"/>
    <m/>
    <s v="Tai Po"/>
    <x v="2"/>
  </r>
  <r>
    <x v="0"/>
    <s v="Java Data Architect"/>
    <n v="111000"/>
    <s v="java,Kafka,Hadoop,DevOps"/>
    <x v="5"/>
    <x v="1"/>
    <s v="Developers/Programmers"/>
    <m/>
    <s v="Hong Kong"/>
    <x v="0"/>
  </r>
  <r>
    <x v="0"/>
    <s v="Analyst Programmer"/>
    <n v="46500"/>
    <s v="Python,NodeJS,JAVA Spring Boot,JavaScript,ReactJS,CSS"/>
    <x v="4"/>
    <x v="0"/>
    <s v="Developers/Programmers"/>
    <m/>
    <s v="Kwun Tong"/>
    <x v="2"/>
  </r>
  <r>
    <x v="0"/>
    <s v="Senior IT Officer"/>
    <n v="29000"/>
    <s v="Windows,cloud,networking"/>
    <x v="4"/>
    <x v="0"/>
    <s v="Help Desk &amp; IT Support"/>
    <m/>
    <s v="Central and Western"/>
    <x v="2"/>
  </r>
  <r>
    <x v="0"/>
    <s v="Technical System Engineer"/>
    <n v="60000"/>
    <s v="ITSM,CMDB"/>
    <x v="6"/>
    <x v="1"/>
    <s v="Networks &amp; Systems Administration"/>
    <m/>
    <s v="Tsim Sha Tsui"/>
    <x v="0"/>
  </r>
  <r>
    <x v="0"/>
    <s v="Systems Engineer - Financial Services"/>
    <n v="37500"/>
    <s v="Windows,networking"/>
    <x v="2"/>
    <x v="1"/>
    <s v="Help Desk &amp; IT Support"/>
    <m/>
    <s v="Hong Kong"/>
    <x v="1"/>
  </r>
  <r>
    <x v="0"/>
    <s v="Analyst Programmer"/>
    <n v="25000"/>
    <s v="C#,JavaScript,API"/>
    <x v="4"/>
    <x v="1"/>
    <s v="Developers/Programmers"/>
    <s v="Double pay,Medical"/>
    <s v="Yuen Long"/>
    <x v="2"/>
  </r>
  <r>
    <x v="0"/>
    <s v="AI Platform Infra Architect"/>
    <n v="65000"/>
    <s v="LLMOps,RoCE/IB,DevOpes,API"/>
    <x v="7"/>
    <x v="1"/>
    <s v="Engineering - Software"/>
    <m/>
    <s v="Tai Po"/>
    <x v="1"/>
  </r>
  <r>
    <x v="0"/>
    <s v="Firmware Software Engineer"/>
    <n v="27500"/>
    <s v="PLC,Modbus,MQTT,C#"/>
    <x v="4"/>
    <x v="1"/>
    <s v="Engineering - Software"/>
    <m/>
    <s v="Tsuen Wan"/>
    <x v="2"/>
  </r>
  <r>
    <x v="0"/>
    <s v="Technical Manager (Enterprise Storage)"/>
    <n v="70000"/>
    <s v="Windows,Linux"/>
    <x v="1"/>
    <x v="1"/>
    <s v="Team Leaders"/>
    <m/>
    <s v="Hong Kong"/>
    <x v="0"/>
  </r>
  <r>
    <x v="0"/>
    <s v="System Analyst"/>
    <n v="45000"/>
    <s v="API,EMS,Java"/>
    <x v="0"/>
    <x v="0"/>
    <s v="Systems Analysts"/>
    <s v="Medical,5-day Work Week"/>
    <s v="Islands"/>
    <x v="0"/>
  </r>
  <r>
    <x v="0"/>
    <s v="AI Technical Director"/>
    <n v="100000"/>
    <s v="cloud,big data,software development"/>
    <x v="8"/>
    <x v="1"/>
    <s v="Management"/>
    <m/>
    <s v="Kwun Tong"/>
    <x v="0"/>
  </r>
  <r>
    <x v="0"/>
    <s v="Contract Data Governance Manager"/>
    <n v="60000"/>
    <s v="Data Governance,Develop, monitor,continuously"/>
    <x v="2"/>
    <x v="0"/>
    <s v="Database Development &amp; Administration"/>
    <m/>
    <s v="Kwun Tong"/>
    <x v="1"/>
  </r>
  <r>
    <x v="1"/>
    <s v="QA Engineer"/>
    <n v="27500"/>
    <s v="LLM,GitLab,Jenkins,API,Cypress,Selenium,Playwright,TestRail,Zephyr,JavaScript,typeScript,Reac"/>
    <x v="7"/>
    <x v="1"/>
    <s v="Quality Assurance"/>
    <s v="5-day Work Week"/>
    <s v="Kwai Tsing"/>
    <x v="1"/>
  </r>
  <r>
    <x v="1"/>
    <s v="AI Application Developer"/>
    <n v="27500"/>
    <s v="AI,CNN,AWS,Azure"/>
    <x v="3"/>
    <x v="1"/>
    <s v="Software / Web Developer"/>
    <m/>
    <s v="Southern"/>
    <x v="2"/>
  </r>
  <r>
    <x v="1"/>
    <s v="Junior Automation Engineer"/>
    <n v="22500"/>
    <s v="Python,JavaScript,PowerShell"/>
    <x v="4"/>
    <x v="1"/>
    <s v="Quality Assurance"/>
    <s v="5-day Work Week"/>
    <s v="Central and Western"/>
    <x v="2"/>
  </r>
  <r>
    <x v="1"/>
    <s v="Senior Network Support "/>
    <n v="35000"/>
    <s v="Windows,Linux,Vmware,TCP,VPN"/>
    <x v="7"/>
    <x v="0"/>
    <s v="Network Engineer"/>
    <s v="5-day Work Week"/>
    <s v="Lai Chi Kok"/>
    <x v="1"/>
  </r>
  <r>
    <x v="1"/>
    <s v="Deskside Engineer"/>
    <n v="20000"/>
    <s v="Windows,IOS"/>
    <x v="3"/>
    <x v="0"/>
    <s v="Systems / Technical Support"/>
    <s v="5-day Work Week"/>
    <s v="Southern"/>
    <x v="2"/>
  </r>
  <r>
    <x v="1"/>
    <s v="Database Administrator"/>
    <n v="40000"/>
    <s v="Mysql, sql"/>
    <x v="0"/>
    <x v="1"/>
    <s v="Database Administrator"/>
    <s v="5-day Work Week,Medical"/>
    <s v="Kowloon City"/>
    <x v="0"/>
  </r>
  <r>
    <x v="1"/>
    <s v="System Administrator"/>
    <n v="40000"/>
    <s v="REST,SOAP,JDBC,MQ,sql"/>
    <x v="8"/>
    <x v="0"/>
    <s v="Network Engineer"/>
    <s v="5-day Work Week,Medical"/>
    <s v="Kowloon City"/>
    <x v="0"/>
  </r>
  <r>
    <x v="1"/>
    <s v="IT Helpdesk"/>
    <n v="20000"/>
    <s v="Windows,Active Directory"/>
    <x v="3"/>
    <x v="0"/>
    <s v="Systems / Technical Support"/>
    <s v="5-day Work Week,Medical"/>
    <s v="Tai Po"/>
    <x v="2"/>
  </r>
  <r>
    <x v="1"/>
    <s v="Data Centre Operator"/>
    <n v="22500"/>
    <s v="Data Center operation"/>
    <x v="3"/>
    <x v="0"/>
    <s v="Technical Support"/>
    <s v="5-day Work Week,Medical"/>
    <s v="Kowloon Bay"/>
    <x v="2"/>
  </r>
  <r>
    <x v="1"/>
    <s v="Junior IT Support"/>
    <n v="15500"/>
    <s v="Blackberry,iOS,Android"/>
    <x v="9"/>
    <x v="0"/>
    <s v="Technical Support"/>
    <s v="5-day Work Week"/>
    <s v="Hong Kong"/>
    <x v="3"/>
  </r>
  <r>
    <x v="1"/>
    <s v="System Support Engineer"/>
    <n v="32500"/>
    <s v="Windows,Linux,VMware"/>
    <x v="4"/>
    <x v="1"/>
    <s v="System Engineer"/>
    <s v="5-day Work Week"/>
    <s v="Lai Chi Kok"/>
    <x v="2"/>
  </r>
  <r>
    <x v="1"/>
    <s v="Cybersecurity Manager"/>
    <n v="72500"/>
    <s v="SIEM,NGFW,WAF,XDR,SOAR,UEBA,API,TVM,K8S"/>
    <x v="1"/>
    <x v="1"/>
    <s v="System Engineer / Network Engineer"/>
    <s v="5-day Work Week,Medical"/>
    <s v="Kwun Tong"/>
    <x v="0"/>
  </r>
  <r>
    <x v="1"/>
    <s v="Network Specialist"/>
    <n v="70000"/>
    <s v="IP,WAF,SND,web"/>
    <x v="1"/>
    <x v="0"/>
    <s v="System Engineer / Network Engineer"/>
    <s v="5-day Work Week,Medical"/>
    <s v="Wan Chai"/>
    <x v="0"/>
  </r>
  <r>
    <x v="1"/>
    <s v="Software Engineer"/>
    <n v="42000"/>
    <s v="SIT,UAT,LangChain,Llamlandex,CrewAI,AutoGen,JavaScript"/>
    <x v="3"/>
    <x v="0"/>
    <s v="Software / Web Developer"/>
    <s v="5-day Work Week,Medical"/>
    <s v="Mong Kok"/>
    <x v="2"/>
  </r>
  <r>
    <x v="1"/>
    <s v="Assistant IT Officer"/>
    <n v="16500"/>
    <s v="Windows,Microsoft Office"/>
    <x v="10"/>
    <x v="0"/>
    <s v="Systems / Technical Support"/>
    <m/>
    <s v="Kowloon City"/>
    <x v="3"/>
  </r>
  <r>
    <x v="1"/>
    <s v="Program Manager-Insurance"/>
    <n v="77500"/>
    <s v="POS"/>
    <x v="1"/>
    <x v="1"/>
    <s v="IT / Project Manager"/>
    <s v="5-day Work Week,Medical"/>
    <s v="Kwun Tong"/>
    <x v="0"/>
  </r>
  <r>
    <x v="1"/>
    <s v="IT Support Engineer"/>
    <n v="20000"/>
    <s v="Systems / Technical Support"/>
    <x v="3"/>
    <x v="0"/>
    <s v="Systems / Technical Support"/>
    <s v="5-day Work Week"/>
    <s v="Yau Tsim Mong"/>
    <x v="2"/>
  </r>
  <r>
    <x v="1"/>
    <s v="ERP Solutions Engineer"/>
    <n v="40000"/>
    <s v="Microsoft,JSON,XML,CSV"/>
    <x v="4"/>
    <x v="0"/>
    <s v="Software / Web Developer"/>
    <s v="5-day Work Week,Discretionary bonus"/>
    <s v="Kwun Tong"/>
    <x v="2"/>
  </r>
  <r>
    <x v="1"/>
    <s v="Developer - IBM Maximo"/>
    <n v="30000"/>
    <s v="MIF,MEA,API,maximo,JavaScript,Python"/>
    <x v="4"/>
    <x v="1"/>
    <s v="Database Administrator"/>
    <s v="5-day Work Week,Medical"/>
    <s v="Kowloon Bay"/>
    <x v="2"/>
  </r>
  <r>
    <x v="1"/>
    <s v="Onsite Support Engineer"/>
    <n v="19000"/>
    <s v="Windows,Mac,networking"/>
    <x v="10"/>
    <x v="0"/>
    <s v="Systems / Technical Support"/>
    <s v="5-day Work Week,Medical"/>
    <s v="Tai Po"/>
    <x v="3"/>
  </r>
  <r>
    <x v="2"/>
    <s v="IT Support Engineer"/>
    <n v="35000"/>
    <s v="GPO,AD,ITIL"/>
    <x v="3"/>
    <x v="0"/>
    <s v="Systems / Technical Support"/>
    <m/>
    <s v="Central and Western"/>
    <x v="2"/>
  </r>
  <r>
    <x v="2"/>
    <s v="Web Developer"/>
    <n v="27500"/>
    <s v="SQL,PHP,Javascript,Linux"/>
    <x v="10"/>
    <x v="0"/>
    <s v="Software / Web Developer"/>
    <m/>
    <s v="Hong Kong"/>
    <x v="3"/>
  </r>
  <r>
    <x v="2"/>
    <s v="IT Support Engineer"/>
    <n v="27500"/>
    <s v="CCNA,CCNP,Microsoft"/>
    <x v="10"/>
    <x v="0"/>
    <s v="Help Desk &amp; IT Support"/>
    <m/>
    <s v="Hong Kong"/>
    <x v="3"/>
  </r>
  <r>
    <x v="2"/>
    <s v="IT Engineer"/>
    <n v="18000"/>
    <s v="Windows"/>
    <x v="3"/>
    <x v="0"/>
    <s v="Systems / Technical Support"/>
    <s v="5-day Work Week"/>
    <s v="Hong Kong"/>
    <x v="2"/>
  </r>
  <r>
    <x v="2"/>
    <s v="Data Center Operator"/>
    <n v="20000"/>
    <s v="data center operations"/>
    <x v="10"/>
    <x v="0"/>
    <s v="Help Desk &amp; IT Support"/>
    <m/>
    <s v="Lai Chi Kok"/>
    <x v="3"/>
  </r>
  <r>
    <x v="2"/>
    <s v="Programmer - .Net"/>
    <n v="24000"/>
    <s v="C#,C++,XML,Swagger,Docker"/>
    <x v="3"/>
    <x v="0"/>
    <s v="Software / Web Developer"/>
    <s v="5-day Work Week,Medical"/>
    <s v="Southern"/>
    <x v="2"/>
  </r>
  <r>
    <x v="2"/>
    <s v="IT System Support"/>
    <n v="26000"/>
    <s v="CCNA,Linux,CCNP"/>
    <x v="10"/>
    <x v="0"/>
    <s v="Systems / Technical Support"/>
    <s v="5-day Work Week"/>
    <s v="Hong Kong"/>
    <x v="3"/>
  </r>
  <r>
    <x v="2"/>
    <s v="IT Assistant"/>
    <n v="20000"/>
    <s v="Windows"/>
    <x v="3"/>
    <x v="0"/>
    <s v="Help Desk &amp; IT Support"/>
    <s v="5-day Work Week"/>
    <s v="Sai Kung"/>
    <x v="2"/>
  </r>
  <r>
    <x v="2"/>
    <s v="IT Assistant/Technician"/>
    <n v="19535"/>
    <s v="Windows, networking"/>
    <x v="4"/>
    <x v="0"/>
    <s v="Help Desk &amp; IT Support"/>
    <m/>
    <s v="Tai Po"/>
    <x v="2"/>
  </r>
  <r>
    <x v="2"/>
    <s v="Java Developer"/>
    <n v="21500"/>
    <s v="cloud-based, web"/>
    <x v="9"/>
    <x v="0"/>
    <s v="Software / Web Developer"/>
    <s v="5-day Work Week"/>
    <s v="Tsuen Wan"/>
    <x v="3"/>
  </r>
  <r>
    <x v="2"/>
    <s v="Network Engineer"/>
    <n v="25500"/>
    <s v="WLAN,VLAN,STP,RSTP,MSTP"/>
    <x v="8"/>
    <x v="0"/>
    <s v="Software / Web Developer"/>
    <s v="5-day Work Week"/>
    <s v="Eastern"/>
    <x v="0"/>
  </r>
  <r>
    <x v="2"/>
    <s v="Computer Operator"/>
    <n v="15930"/>
    <s v="network,data centre"/>
    <x v="10"/>
    <x v="0"/>
    <s v="Help Desk &amp; IT Support"/>
    <m/>
    <s v="Wong Tai Sin"/>
    <x v="3"/>
  </r>
  <r>
    <x v="2"/>
    <s v="Technician"/>
    <n v="22500"/>
    <s v="TCP/IP,Linux,CCNA/CCVP"/>
    <x v="3"/>
    <x v="0"/>
    <s v="Help Desk &amp; IT Support"/>
    <m/>
    <s v="Kwun Tong"/>
    <x v="2"/>
  </r>
  <r>
    <x v="2"/>
    <s v="Junior Technician"/>
    <n v="15500"/>
    <s v="Windows"/>
    <x v="3"/>
    <x v="0"/>
    <s v="Help Desk &amp; IT Support"/>
    <m/>
    <s v="Sham Shui Po"/>
    <x v="2"/>
  </r>
  <r>
    <x v="2"/>
    <s v="Python Developer"/>
    <n v="20000"/>
    <s v="python"/>
    <x v="10"/>
    <x v="0"/>
    <s v="Software / Web Developer"/>
    <s v="5-day Work Week"/>
    <s v="Kowloon Bay"/>
    <x v="3"/>
  </r>
  <r>
    <x v="2"/>
    <s v="Analyst Programmer"/>
    <n v="20000"/>
    <s v="C#,SQL,ASP"/>
    <x v="10"/>
    <x v="0"/>
    <s v="Software / Web Developer"/>
    <s v="5-day Work Week"/>
    <s v="Hong Kong"/>
    <x v="3"/>
  </r>
  <r>
    <x v="2"/>
    <s v="System Analysis"/>
    <n v="60000"/>
    <s v="CSS,angular,nodejs"/>
    <x v="2"/>
    <x v="0"/>
    <s v="Software / Web Developer"/>
    <s v="5-day Work Week"/>
    <s v="Lai Chi Kok"/>
    <x v="1"/>
  </r>
  <r>
    <x v="2"/>
    <s v="Software Engineer"/>
    <n v="25000"/>
    <s v="CSS,nodejs,database,docker"/>
    <x v="3"/>
    <x v="1"/>
    <s v="Software / Web Developer"/>
    <s v="5-day Work Week"/>
    <s v="Lai Chi Kok"/>
    <x v="2"/>
  </r>
  <r>
    <x v="2"/>
    <s v="Project Manager"/>
    <n v="25000"/>
    <s v="network,data centre"/>
    <x v="10"/>
    <x v="1"/>
    <s v="Software / Web Developer"/>
    <s v="5-day Work Week"/>
    <s v="Islands"/>
    <x v="3"/>
  </r>
  <r>
    <x v="2"/>
    <s v="AI Developer"/>
    <n v="35000"/>
    <s v="AI,LLM,Python,java"/>
    <x v="7"/>
    <x v="1"/>
    <s v="Software / Web Developer"/>
    <m/>
    <s v="Central and Western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Jobsdb"/>
    <s v="System Analyst"/>
    <n v="45000"/>
    <s v="API,IBM,Kafka,Solace,SOA"/>
    <n v="6"/>
    <s v="No"/>
    <s v="Systems Analysts"/>
    <s v="Medical,Statutory Leave"/>
    <x v="0"/>
    <s v="5+"/>
    <x v="0"/>
  </r>
  <r>
    <s v="Jobsdb"/>
    <s v="Senior System Analyst "/>
    <n v="71500"/>
    <s v="WAF,SDN,CISCO"/>
    <n v="10"/>
    <s v="No"/>
    <s v="Networks &amp; Systems Administration"/>
    <m/>
    <x v="1"/>
    <s v="5+"/>
    <x v="1"/>
  </r>
  <r>
    <s v="Jobsdb"/>
    <s v="Senior Technical System engineer (Cloud)"/>
    <n v="52500"/>
    <s v="DevOps,API,AKS,K8S,OpenShift"/>
    <n v="5"/>
    <s v="Yes"/>
    <s v="Networks &amp; Systems Administration"/>
    <m/>
    <x v="2"/>
    <s v="3-5"/>
    <x v="2"/>
  </r>
  <r>
    <s v="Jobsdb"/>
    <s v="System Controller Manager "/>
    <n v="55000"/>
    <s v="Linux,Unix,ERP"/>
    <n v="5"/>
    <s v="No"/>
    <s v="Programme &amp; Project Management"/>
    <m/>
    <x v="3"/>
    <s v="3-5"/>
    <x v="0"/>
  </r>
  <r>
    <s v="Jobsdb"/>
    <s v="IT officer"/>
    <n v="25000"/>
    <s v="WordPress,WeCom,VOIP"/>
    <n v="2"/>
    <s v="No"/>
    <s v="Help Desk &amp; IT Support"/>
    <s v="13th Month Salaries,Overtime pay"/>
    <x v="4"/>
    <s v="1-3"/>
    <x v="1"/>
  </r>
  <r>
    <s v="Jobsdb"/>
    <s v="Support Analyst"/>
    <n v="45000"/>
    <s v="java,SQL,Hibernate,Spring,Oracle"/>
    <n v="2"/>
    <s v="Yes"/>
    <s v="Help Desk &amp; IT Support"/>
    <s v="5-day Work Week"/>
    <x v="5"/>
    <s v="1-3"/>
    <x v="0"/>
  </r>
  <r>
    <s v="Jobsdb"/>
    <s v="Senior Deskside Support Engineer"/>
    <n v="25000"/>
    <s v="windows OS platform,Apple MAC OS platform"/>
    <n v="3"/>
    <s v="No"/>
    <s v="Engineering - Software"/>
    <s v="5-day Work Week"/>
    <x v="4"/>
    <s v="1-3"/>
    <x v="1"/>
  </r>
  <r>
    <s v="Jobsdb"/>
    <s v="Senior IT Officer"/>
    <n v="33500"/>
    <s v="Vmware,HyperV,Azure,AWS"/>
    <n v="3"/>
    <s v="Yes"/>
    <s v="Programme &amp; Project Management"/>
    <m/>
    <x v="6"/>
    <s v="1-3"/>
    <x v="3"/>
  </r>
  <r>
    <s v="Jobsdb"/>
    <s v="Java Data Architect"/>
    <n v="111000"/>
    <s v="java,Kafka,Hadoop,DevOps"/>
    <n v="15"/>
    <s v="Yes"/>
    <s v="Developers/Programmers"/>
    <m/>
    <x v="7"/>
    <s v="5+"/>
    <x v="2"/>
  </r>
  <r>
    <s v="Jobsdb"/>
    <s v="Analyst Programmer"/>
    <n v="46500"/>
    <s v="Python,NodeJS,JAVA Spring Boot,JavaScript,ReactJS,CSS"/>
    <n v="3"/>
    <s v="No"/>
    <s v="Developers/Programmers"/>
    <m/>
    <x v="5"/>
    <s v="1-3"/>
    <x v="0"/>
  </r>
  <r>
    <s v="Jobsdb"/>
    <s v="Senior IT Officer"/>
    <n v="29000"/>
    <s v="Windows,cloud,networking"/>
    <n v="3"/>
    <s v="No"/>
    <s v="Help Desk &amp; IT Support"/>
    <m/>
    <x v="8"/>
    <s v="1-3"/>
    <x v="1"/>
  </r>
  <r>
    <s v="Jobsdb"/>
    <s v="Technical System Engineer"/>
    <n v="60000"/>
    <s v="ITSM,CMDB"/>
    <n v="7"/>
    <s v="Yes"/>
    <s v="Networks &amp; Systems Administration"/>
    <m/>
    <x v="4"/>
    <s v="5+"/>
    <x v="1"/>
  </r>
  <r>
    <s v="Jobsdb"/>
    <s v="Systems Engineer - Financial Services"/>
    <n v="37500"/>
    <s v="Windows,networking"/>
    <n v="5"/>
    <s v="Yes"/>
    <s v="Help Desk &amp; IT Support"/>
    <m/>
    <x v="7"/>
    <s v="3-5"/>
    <x v="2"/>
  </r>
  <r>
    <s v="Jobsdb"/>
    <s v="Analyst Programmer"/>
    <n v="25000"/>
    <s v="C#,JavaScript,API"/>
    <n v="3"/>
    <s v="Yes"/>
    <s v="Developers/Programmers"/>
    <s v="Double pay,Medical"/>
    <x v="9"/>
    <s v="1-3"/>
    <x v="2"/>
  </r>
  <r>
    <s v="Jobsdb"/>
    <s v="AI Platform Infra Architect"/>
    <n v="65000"/>
    <s v="LLMOps,RoCE/IB,DevOpes,API"/>
    <n v="4"/>
    <s v="Yes"/>
    <s v="Engineering - Software"/>
    <m/>
    <x v="6"/>
    <s v="3-5"/>
    <x v="3"/>
  </r>
  <r>
    <s v="Jobsdb"/>
    <s v="Firmware Software Engineer"/>
    <n v="27500"/>
    <s v="PLC,Modbus,MQTT,C#"/>
    <n v="3"/>
    <s v="Yes"/>
    <s v="Engineering - Software"/>
    <m/>
    <x v="10"/>
    <s v="1-3"/>
    <x v="0"/>
  </r>
  <r>
    <s v="Jobsdb"/>
    <s v="Technical Manager (Enterprise Storage)"/>
    <n v="70000"/>
    <s v="Windows,Linux"/>
    <n v="10"/>
    <s v="Yes"/>
    <s v="Team Leaders"/>
    <m/>
    <x v="7"/>
    <s v="5+"/>
    <x v="2"/>
  </r>
  <r>
    <s v="Jobsdb"/>
    <s v="System Analyst"/>
    <n v="45000"/>
    <s v="API,EMS,Java"/>
    <n v="6"/>
    <s v="No"/>
    <s v="Systems Analysts"/>
    <s v="Medical,5-day Work Week"/>
    <x v="0"/>
    <s v="5+"/>
    <x v="0"/>
  </r>
  <r>
    <s v="Jobsdb"/>
    <s v="AI Technical Director"/>
    <n v="100000"/>
    <s v="cloud,big data,software development"/>
    <n v="8"/>
    <s v="Yes"/>
    <s v="Management"/>
    <m/>
    <x v="5"/>
    <s v="5+"/>
    <x v="0"/>
  </r>
  <r>
    <s v="Jobsdb"/>
    <s v="Contract Data Governance Manager"/>
    <n v="60000"/>
    <s v="Data Governance,Develop, monitor,continuously"/>
    <n v="5"/>
    <s v="No"/>
    <s v="Database Development &amp; Administration"/>
    <m/>
    <x v="5"/>
    <s v="3-5"/>
    <x v="0"/>
  </r>
  <r>
    <s v="Ctgoodjobs"/>
    <s v="QA Engineer"/>
    <n v="27500"/>
    <s v="LLM,GitLab,Jenkins,API,Cypress,Selenium,Playwright,TestRail,Zephyr,JavaScript,typeScript,Reac"/>
    <n v="4"/>
    <s v="Yes"/>
    <s v="Quality Assurance"/>
    <s v="5-day Work Week"/>
    <x v="11"/>
    <s v="3-5"/>
    <x v="0"/>
  </r>
  <r>
    <s v="Ctgoodjobs"/>
    <s v="AI Application Developer"/>
    <n v="27500"/>
    <s v="AI,CNN,AWS,Azure"/>
    <n v="2"/>
    <s v="Yes"/>
    <s v="Software / Web Developer"/>
    <m/>
    <x v="7"/>
    <s v="1-3"/>
    <x v="2"/>
  </r>
  <r>
    <s v="Ctgoodjobs"/>
    <s v="Junior Automation Engineer"/>
    <n v="22500"/>
    <s v="Python,JavaScript,PowerShell"/>
    <n v="3"/>
    <s v="Yes"/>
    <s v="Quality Assurance"/>
    <s v="5-day Work Week"/>
    <x v="8"/>
    <s v="1-3"/>
    <x v="1"/>
  </r>
  <r>
    <s v="Ctgoodjobs"/>
    <s v="Senior Network Support "/>
    <n v="35000"/>
    <s v="Windows,Linux,Vmware,TCP,VPN"/>
    <n v="4"/>
    <s v="No"/>
    <s v="Network Engineer"/>
    <s v="5-day Work Week"/>
    <x v="3"/>
    <s v="3-5"/>
    <x v="0"/>
  </r>
  <r>
    <s v="Ctgoodjobs"/>
    <s v="Deskside Engineer"/>
    <n v="20000"/>
    <s v="Windows,IOS"/>
    <n v="2"/>
    <s v="No"/>
    <s v="Systems / Technical Support"/>
    <s v="5-day Work Week"/>
    <x v="7"/>
    <s v="1-3"/>
    <x v="2"/>
  </r>
  <r>
    <s v="Ctgoodjobs"/>
    <s v="Database Administrator"/>
    <n v="40000"/>
    <s v="Mysql, sql"/>
    <n v="6"/>
    <s v="Yes"/>
    <s v="Database Administrator"/>
    <s v="5-day Work Week,Medical"/>
    <x v="12"/>
    <s v="5+"/>
    <x v="2"/>
  </r>
  <r>
    <s v="Ctgoodjobs"/>
    <s v="System Administrator"/>
    <n v="40000"/>
    <s v="REST,SOAP,JDBC,MQ,sql"/>
    <n v="8"/>
    <s v="No"/>
    <s v="Network Engineer"/>
    <s v="5-day Work Week,Medical"/>
    <x v="12"/>
    <s v="5+"/>
    <x v="2"/>
  </r>
  <r>
    <s v="Ctgoodjobs"/>
    <s v="IT Helpdesk"/>
    <n v="20000"/>
    <s v="Windows,Active Directory"/>
    <n v="2"/>
    <s v="No"/>
    <s v="Systems / Technical Support"/>
    <s v="5-day Work Week,Medical"/>
    <x v="6"/>
    <s v="1-3"/>
    <x v="3"/>
  </r>
  <r>
    <s v="Ctgoodjobs"/>
    <s v="Data Centre Operator"/>
    <n v="22500"/>
    <s v="Data Center operation"/>
    <n v="2"/>
    <s v="No"/>
    <s v="Technical Support"/>
    <s v="5-day Work Week,Medical"/>
    <x v="5"/>
    <s v="1-3"/>
    <x v="0"/>
  </r>
  <r>
    <s v="Ctgoodjobs"/>
    <s v="Junior IT Support"/>
    <n v="15500"/>
    <s v="Blackberry,iOS,Android"/>
    <n v="0"/>
    <s v="No"/>
    <s v="Technical Support"/>
    <s v="5-day Work Week"/>
    <x v="7"/>
    <s v="0-1"/>
    <x v="2"/>
  </r>
  <r>
    <s v="Ctgoodjobs"/>
    <s v="System Support Engineer"/>
    <n v="32500"/>
    <s v="Windows,Linux,VMware"/>
    <n v="3"/>
    <s v="Yes"/>
    <s v="System Engineer"/>
    <s v="5-day Work Week"/>
    <x v="3"/>
    <s v="1-3"/>
    <x v="0"/>
  </r>
  <r>
    <s v="Ctgoodjobs"/>
    <s v="Cybersecurity Manager"/>
    <n v="72500"/>
    <s v="SIEM,NGFW,WAF,XDR,SOAR,UEBA,API,TVM,K8S"/>
    <n v="10"/>
    <s v="Yes"/>
    <s v="System Engineer / Network Engineer"/>
    <s v="5-day Work Week,Medical"/>
    <x v="5"/>
    <s v="5+"/>
    <x v="0"/>
  </r>
  <r>
    <s v="Ctgoodjobs"/>
    <s v="Network Specialist"/>
    <n v="70000"/>
    <s v="IP,WAF,SND,web"/>
    <n v="10"/>
    <s v="No"/>
    <s v="System Engineer / Network Engineer"/>
    <s v="5-day Work Week,Medical"/>
    <x v="1"/>
    <s v="5+"/>
    <x v="1"/>
  </r>
  <r>
    <s v="Ctgoodjobs"/>
    <s v="Software Engineer"/>
    <n v="42000"/>
    <s v="SIT,UAT,LangChain,Llamlandex,CrewAI,AutoGen,JavaScript"/>
    <n v="2"/>
    <s v="No"/>
    <s v="Software / Web Developer"/>
    <s v="5-day Work Week,Medical"/>
    <x v="4"/>
    <s v="1-3"/>
    <x v="1"/>
  </r>
  <r>
    <s v="Ctgoodjobs"/>
    <s v="Assistant IT Officer"/>
    <n v="16500"/>
    <s v="Windows,Microsoft Office"/>
    <n v="1"/>
    <s v="No"/>
    <s v="Systems / Technical Support"/>
    <m/>
    <x v="12"/>
    <s v="0-1"/>
    <x v="2"/>
  </r>
  <r>
    <s v="Ctgoodjobs"/>
    <s v="Program Manager-Insurance"/>
    <n v="77500"/>
    <s v="POS"/>
    <n v="10"/>
    <s v="Yes"/>
    <s v="IT / Project Manager"/>
    <s v="5-day Work Week,Medical"/>
    <x v="5"/>
    <s v="5+"/>
    <x v="0"/>
  </r>
  <r>
    <s v="Ctgoodjobs"/>
    <s v="IT Support Engineer"/>
    <n v="20000"/>
    <s v="Systems / Technical Support"/>
    <n v="2"/>
    <s v="No"/>
    <s v="Systems / Technical Support"/>
    <s v="5-day Work Week"/>
    <x v="4"/>
    <s v="1-3"/>
    <x v="1"/>
  </r>
  <r>
    <s v="Ctgoodjobs"/>
    <s v="ERP Solutions Engineer"/>
    <n v="40000"/>
    <s v="Microsoft,JSON,XML,CSV"/>
    <n v="3"/>
    <s v="No"/>
    <s v="Software / Web Developer"/>
    <s v="5-day Work Week,Discretionary bonus"/>
    <x v="5"/>
    <s v="1-3"/>
    <x v="0"/>
  </r>
  <r>
    <s v="Ctgoodjobs"/>
    <s v="Developer - IBM Maximo"/>
    <n v="30000"/>
    <s v="MIF,MEA,API,maximo,JavaScript,Python"/>
    <n v="3"/>
    <s v="Yes"/>
    <s v="Database Administrator"/>
    <s v="5-day Work Week,Medical"/>
    <x v="5"/>
    <s v="1-3"/>
    <x v="0"/>
  </r>
  <r>
    <s v="Ctgoodjobs"/>
    <s v="Onsite Support Engineer"/>
    <n v="19000"/>
    <s v="Windows,Mac,networking"/>
    <n v="1"/>
    <s v="No"/>
    <s v="Systems / Technical Support"/>
    <s v="5-day Work Week,Medical"/>
    <x v="6"/>
    <s v="0-1"/>
    <x v="3"/>
  </r>
  <r>
    <s v="Recruit"/>
    <s v="IT Support Engineer"/>
    <n v="35000"/>
    <s v="GPO,AD,ITIL"/>
    <n v="2"/>
    <s v="No"/>
    <s v="Systems / Technical Support"/>
    <m/>
    <x v="8"/>
    <s v="1-3"/>
    <x v="1"/>
  </r>
  <r>
    <s v="Recruit"/>
    <s v="Web Developer"/>
    <n v="27500"/>
    <s v="SQL,PHP,Javascript,Linux"/>
    <n v="1"/>
    <s v="No"/>
    <s v="Software / Web Developer"/>
    <m/>
    <x v="7"/>
    <s v="0-1"/>
    <x v="2"/>
  </r>
  <r>
    <s v="Recruit"/>
    <s v="IT Support Engineer"/>
    <n v="27500"/>
    <s v="CCNA,CCNP,Microsoft"/>
    <n v="1"/>
    <s v="No"/>
    <s v="Help Desk &amp; IT Support"/>
    <m/>
    <x v="7"/>
    <s v="0-1"/>
    <x v="2"/>
  </r>
  <r>
    <s v="Recruit"/>
    <s v="IT Engineer"/>
    <n v="18000"/>
    <s v="Windows"/>
    <n v="2"/>
    <s v="No"/>
    <s v="Systems / Technical Support"/>
    <s v="5-day Work Week"/>
    <x v="7"/>
    <s v="1-3"/>
    <x v="2"/>
  </r>
  <r>
    <s v="Recruit"/>
    <s v="Data Center Operator"/>
    <n v="20000"/>
    <s v="data center operations"/>
    <n v="1"/>
    <s v="No"/>
    <s v="Help Desk &amp; IT Support"/>
    <m/>
    <x v="3"/>
    <s v="0-1"/>
    <x v="0"/>
  </r>
  <r>
    <s v="Recruit"/>
    <s v="Programmer - .Net"/>
    <n v="24000"/>
    <s v="C#,C++,XML,Swagger,Docker"/>
    <n v="2"/>
    <s v="No"/>
    <s v="Software / Web Developer"/>
    <s v="5-day Work Week,Medical"/>
    <x v="7"/>
    <s v="1-3"/>
    <x v="2"/>
  </r>
  <r>
    <s v="Recruit"/>
    <s v="IT System Support"/>
    <n v="26000"/>
    <s v="CCNA,Linux,CCNP"/>
    <n v="1"/>
    <s v="No"/>
    <s v="Systems / Technical Support"/>
    <s v="5-day Work Week"/>
    <x v="7"/>
    <s v="0-1"/>
    <x v="2"/>
  </r>
  <r>
    <s v="Recruit"/>
    <s v="IT Assistant"/>
    <n v="20000"/>
    <s v="Windows"/>
    <n v="2"/>
    <s v="No"/>
    <s v="Help Desk &amp; IT Support"/>
    <s v="5-day Work Week"/>
    <x v="13"/>
    <s v="1-3"/>
    <x v="2"/>
  </r>
  <r>
    <s v="Recruit"/>
    <s v="IT Assistant/Technician"/>
    <n v="19535"/>
    <s v="Windows, networking"/>
    <n v="3"/>
    <s v="No"/>
    <s v="Help Desk &amp; IT Support"/>
    <m/>
    <x v="6"/>
    <s v="1-3"/>
    <x v="3"/>
  </r>
  <r>
    <s v="Recruit"/>
    <s v="Java Developer"/>
    <n v="21500"/>
    <s v="cloud-based, web"/>
    <n v="0"/>
    <s v="No"/>
    <s v="Software / Web Developer"/>
    <s v="5-day Work Week"/>
    <x v="10"/>
    <s v="0-1"/>
    <x v="0"/>
  </r>
  <r>
    <s v="Recruit"/>
    <s v="Network Engineer"/>
    <n v="25500"/>
    <s v="WLAN,VLAN,STP,RSTP,MSTP"/>
    <n v="8"/>
    <s v="No"/>
    <s v="Software / Web Developer"/>
    <s v="5-day Work Week"/>
    <x v="14"/>
    <s v="5+"/>
    <x v="3"/>
  </r>
  <r>
    <s v="Recruit"/>
    <s v="Computer Operator"/>
    <n v="15930"/>
    <s v="network,data centre"/>
    <n v="1"/>
    <s v="No"/>
    <s v="Help Desk &amp; IT Support"/>
    <m/>
    <x v="2"/>
    <s v="0-1"/>
    <x v="2"/>
  </r>
  <r>
    <s v="Recruit"/>
    <s v="Technician"/>
    <n v="22500"/>
    <s v="TCP/IP,Linux,CCNA/CCVP"/>
    <n v="2"/>
    <s v="No"/>
    <s v="Help Desk &amp; IT Support"/>
    <m/>
    <x v="5"/>
    <s v="1-3"/>
    <x v="0"/>
  </r>
  <r>
    <s v="Recruit"/>
    <s v="Junior Technician"/>
    <n v="15500"/>
    <s v="Windows"/>
    <n v="2"/>
    <s v="No"/>
    <s v="Help Desk &amp; IT Support"/>
    <m/>
    <x v="3"/>
    <s v="1-3"/>
    <x v="0"/>
  </r>
  <r>
    <s v="Recruit"/>
    <s v="Python Developer"/>
    <n v="20000"/>
    <s v="python"/>
    <n v="1"/>
    <s v="No"/>
    <s v="Software / Web Developer"/>
    <s v="5-day Work Week"/>
    <x v="5"/>
    <s v="0-1"/>
    <x v="0"/>
  </r>
  <r>
    <s v="Recruit"/>
    <s v="Analyst Programmer"/>
    <n v="20000"/>
    <s v="C#,SQL,ASP"/>
    <n v="1"/>
    <s v="No"/>
    <s v="Software / Web Developer"/>
    <s v="5-day Work Week"/>
    <x v="7"/>
    <s v="0-1"/>
    <x v="2"/>
  </r>
  <r>
    <s v="Recruit"/>
    <s v="System Analysis"/>
    <n v="60000"/>
    <s v="CSS,angular,nodejs"/>
    <n v="5"/>
    <s v="No"/>
    <s v="Software / Web Developer"/>
    <s v="5-day Work Week"/>
    <x v="3"/>
    <s v="3-5"/>
    <x v="0"/>
  </r>
  <r>
    <s v="Recruit"/>
    <s v="Software Engineer"/>
    <n v="25000"/>
    <s v="CSS,nodejs,database,docker"/>
    <n v="2"/>
    <s v="Yes"/>
    <s v="Software / Web Developer"/>
    <s v="5-day Work Week"/>
    <x v="3"/>
    <s v="1-3"/>
    <x v="0"/>
  </r>
  <r>
    <s v="Recruit"/>
    <s v="Project Manager"/>
    <n v="25000"/>
    <s v="network,data centre"/>
    <n v="1"/>
    <s v="Yes"/>
    <s v="Software / Web Developer"/>
    <s v="5-day Work Week"/>
    <x v="0"/>
    <s v="0-1"/>
    <x v="0"/>
  </r>
  <r>
    <s v="Recruit"/>
    <s v="AI Developer"/>
    <n v="35000"/>
    <s v="AI,LLM,Python,java"/>
    <n v="4"/>
    <s v="Yes"/>
    <s v="Software / Web Developer"/>
    <m/>
    <x v="8"/>
    <s v="3-5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Jobsdb"/>
    <s v="System Analyst"/>
    <n v="45000"/>
    <s v="API,IBM,Kafka,Solace,SOA"/>
    <n v="6"/>
    <s v="No"/>
    <s v="Systems Analysts"/>
    <s v="Medical,Statutory Leave"/>
    <s v="Islands"/>
    <s v="5+"/>
    <s v="Industrial"/>
    <x v="0"/>
  </r>
  <r>
    <s v="Jobsdb"/>
    <s v="Senior System Analyst "/>
    <n v="71500"/>
    <s v="WAF,SDN,CISCO"/>
    <n v="10"/>
    <s v="No"/>
    <s v="Networks &amp; Systems Administration"/>
    <m/>
    <s v="Wan Chai"/>
    <s v="5+"/>
    <s v="Commercial"/>
    <x v="1"/>
  </r>
  <r>
    <s v="Jobsdb"/>
    <s v="Senior Technical System engineer (Cloud)"/>
    <n v="52500"/>
    <s v="DevOps,API,AKS,K8S,OpenShift"/>
    <n v="5"/>
    <s v="Yes"/>
    <s v="Networks &amp; Systems Administration"/>
    <m/>
    <s v="Wong Tai Sin"/>
    <s v="3-5"/>
    <s v="Residential"/>
    <x v="1"/>
  </r>
  <r>
    <s v="Jobsdb"/>
    <s v="System Controller Manager "/>
    <n v="55000"/>
    <s v="Linux,Unix,ERP"/>
    <n v="5"/>
    <s v="No"/>
    <s v="Programme &amp; Project Management"/>
    <m/>
    <s v="Sham Shui Po"/>
    <s v="3-5"/>
    <s v="Industrial"/>
    <x v="1"/>
  </r>
  <r>
    <s v="Jobsdb"/>
    <s v="IT officer"/>
    <n v="25000"/>
    <s v="WordPress,WeCom,VOIP"/>
    <n v="2"/>
    <s v="No"/>
    <s v="Help Desk &amp; IT Support"/>
    <s v="13th Month Salaries,Overtime pay"/>
    <s v="Yau Tsim Mong"/>
    <s v="1-3"/>
    <s v="Commercial"/>
    <x v="0"/>
  </r>
  <r>
    <s v="Jobsdb"/>
    <s v="Support Analyst"/>
    <n v="45000"/>
    <s v="java,SQL,Hibernate,Spring,Oracle"/>
    <n v="2"/>
    <s v="Yes"/>
    <s v="Help Desk &amp; IT Support"/>
    <s v="5-day Work Week"/>
    <s v="Kwun Tong"/>
    <s v="1-3"/>
    <s v="Industrial"/>
    <x v="2"/>
  </r>
  <r>
    <s v="Jobsdb"/>
    <s v="Senior Deskside Support Engineer"/>
    <n v="25000"/>
    <s v="windows OS platform,Apple MAC OS platform"/>
    <n v="3"/>
    <s v="No"/>
    <s v="Engineering - Software"/>
    <s v="5-day Work Week"/>
    <s v="Yau Tsim Mong"/>
    <s v="1-3"/>
    <s v="Commercial"/>
    <x v="2"/>
  </r>
  <r>
    <s v="Jobsdb"/>
    <s v="Senior IT Officer"/>
    <n v="33500"/>
    <s v="Vmware,HyperV,Azure,AWS"/>
    <n v="3"/>
    <s v="Yes"/>
    <s v="Programme &amp; Project Management"/>
    <m/>
    <s v="Tai Po"/>
    <s v="1-3"/>
    <s v="Mixed-use"/>
    <x v="1"/>
  </r>
  <r>
    <s v="Jobsdb"/>
    <s v="Java Data Architect"/>
    <n v="111000"/>
    <s v="java,Kafka,Hadoop,DevOps"/>
    <n v="15"/>
    <s v="Yes"/>
    <s v="Developers/Programmers"/>
    <m/>
    <s v="Southern"/>
    <s v="5+"/>
    <s v="Residential"/>
    <x v="1"/>
  </r>
  <r>
    <s v="Jobsdb"/>
    <s v="Analyst Programmer"/>
    <n v="46500"/>
    <s v="Python,NodeJS,JAVA Spring Boot,JavaScript,ReactJS,CSS"/>
    <n v="3"/>
    <s v="No"/>
    <s v="Developers/Programmers"/>
    <m/>
    <s v="Kwun Tong"/>
    <s v="1-3"/>
    <s v="Industrial"/>
    <x v="1"/>
  </r>
  <r>
    <s v="Jobsdb"/>
    <s v="Senior IT Officer"/>
    <n v="29000"/>
    <s v="Windows,cloud,networking"/>
    <n v="3"/>
    <s v="No"/>
    <s v="Help Desk &amp; IT Support"/>
    <m/>
    <s v="Central and Western"/>
    <s v="1-3"/>
    <s v="Commercial"/>
    <x v="1"/>
  </r>
  <r>
    <s v="Jobsdb"/>
    <s v="Technical System Engineer"/>
    <n v="60000"/>
    <s v="ITSM,CMDB"/>
    <n v="7"/>
    <s v="Yes"/>
    <s v="Networks &amp; Systems Administration"/>
    <m/>
    <s v="Yau Tsim Mong"/>
    <s v="5+"/>
    <s v="Commercial"/>
    <x v="1"/>
  </r>
  <r>
    <s v="Jobsdb"/>
    <s v="Systems Engineer - Financial Services"/>
    <n v="37500"/>
    <s v="Windows,networking"/>
    <n v="5"/>
    <s v="Yes"/>
    <s v="Help Desk &amp; IT Support"/>
    <m/>
    <s v="Southern"/>
    <s v="3-5"/>
    <s v="Residential"/>
    <x v="1"/>
  </r>
  <r>
    <s v="Jobsdb"/>
    <s v="Analyst Programmer"/>
    <n v="25000"/>
    <s v="C#,JavaScript,API"/>
    <n v="3"/>
    <s v="Yes"/>
    <s v="Developers/Programmers"/>
    <s v="Double pay,Medical"/>
    <s v="Yuen Long"/>
    <s v="1-3"/>
    <s v="Residential"/>
    <x v="0"/>
  </r>
  <r>
    <s v="Jobsdb"/>
    <s v="AI Platform Infra Architect"/>
    <n v="65000"/>
    <s v="LLMOps,RoCE/IB,DevOpes,API"/>
    <n v="4"/>
    <s v="Yes"/>
    <s v="Engineering - Software"/>
    <m/>
    <s v="Tai Po"/>
    <s v="3-5"/>
    <s v="Mixed-use"/>
    <x v="1"/>
  </r>
  <r>
    <s v="Jobsdb"/>
    <s v="Firmware Software Engineer"/>
    <n v="27500"/>
    <s v="PLC,Modbus,MQTT,C#"/>
    <n v="3"/>
    <s v="Yes"/>
    <s v="Engineering - Software"/>
    <m/>
    <s v="Tsuen Wan"/>
    <s v="1-3"/>
    <s v="Industrial"/>
    <x v="1"/>
  </r>
  <r>
    <s v="Jobsdb"/>
    <s v="Technical Manager (Enterprise Storage)"/>
    <n v="70000"/>
    <s v="Windows,Linux"/>
    <n v="10"/>
    <s v="Yes"/>
    <s v="Team Leaders"/>
    <m/>
    <s v="Southern"/>
    <s v="5+"/>
    <s v="Residential"/>
    <x v="1"/>
  </r>
  <r>
    <s v="Jobsdb"/>
    <s v="System Analyst"/>
    <n v="45000"/>
    <s v="API,EMS,Java"/>
    <n v="6"/>
    <s v="No"/>
    <s v="Systems Analysts"/>
    <s v="Medical,5-day Work Week"/>
    <s v="Islands"/>
    <s v="5+"/>
    <s v="Industrial"/>
    <x v="0"/>
  </r>
  <r>
    <s v="Jobsdb"/>
    <s v="AI Technical Director"/>
    <n v="100000"/>
    <s v="cloud,big data,software development"/>
    <n v="8"/>
    <s v="Yes"/>
    <s v="Management"/>
    <m/>
    <s v="Kwun Tong"/>
    <s v="5+"/>
    <s v="Industrial"/>
    <x v="1"/>
  </r>
  <r>
    <s v="Jobsdb"/>
    <s v="Contract Data Governance Manager"/>
    <n v="60000"/>
    <s v="Data Governance,Develop, monitor,continuously"/>
    <n v="5"/>
    <s v="No"/>
    <s v="Database Development &amp; Administration"/>
    <m/>
    <s v="Kwun Tong"/>
    <s v="3-5"/>
    <s v="Industrial"/>
    <x v="1"/>
  </r>
  <r>
    <s v="Ctgoodjobs"/>
    <s v="QA Engineer"/>
    <n v="27500"/>
    <s v="LLM,GitLab,Jenkins,API,Cypress,Selenium,Playwright,TestRail,Zephyr,JavaScript,typeScript,Reac"/>
    <n v="4"/>
    <s v="Yes"/>
    <s v="Quality Assurance"/>
    <s v="5-day Work Week"/>
    <s v="Kwai Tsing"/>
    <s v="3-5"/>
    <s v="Industrial"/>
    <x v="2"/>
  </r>
  <r>
    <s v="Ctgoodjobs"/>
    <s v="AI Application Developer"/>
    <n v="27500"/>
    <s v="AI,CNN,AWS,Azure"/>
    <n v="2"/>
    <s v="Yes"/>
    <s v="Software / Web Developer"/>
    <m/>
    <s v="Southern"/>
    <s v="1-3"/>
    <s v="Residential"/>
    <x v="1"/>
  </r>
  <r>
    <s v="Ctgoodjobs"/>
    <s v="Junior Automation Engineer"/>
    <n v="22500"/>
    <s v="Python,JavaScript,PowerShell"/>
    <n v="3"/>
    <s v="Yes"/>
    <s v="Quality Assurance"/>
    <s v="5-day Work Week"/>
    <s v="Central and Western"/>
    <s v="1-3"/>
    <s v="Commercial"/>
    <x v="2"/>
  </r>
  <r>
    <s v="Ctgoodjobs"/>
    <s v="Senior Network Support "/>
    <n v="35000"/>
    <s v="Windows,Linux,Vmware,TCP,VPN"/>
    <n v="4"/>
    <s v="No"/>
    <s v="Network Engineer"/>
    <s v="5-day Work Week"/>
    <s v="Sham Shui Po"/>
    <s v="3-5"/>
    <s v="Industrial"/>
    <x v="2"/>
  </r>
  <r>
    <s v="Ctgoodjobs"/>
    <s v="Deskside Engineer"/>
    <n v="20000"/>
    <s v="Windows,IOS"/>
    <n v="2"/>
    <s v="No"/>
    <s v="Systems / Technical Support"/>
    <s v="5-day Work Week"/>
    <s v="Southern"/>
    <s v="1-3"/>
    <s v="Residential"/>
    <x v="2"/>
  </r>
  <r>
    <s v="Ctgoodjobs"/>
    <s v="Database Administrator"/>
    <n v="40000"/>
    <s v="Mysql, sql"/>
    <n v="6"/>
    <s v="Yes"/>
    <s v="Database Administrator"/>
    <s v="5-day Work Week,Medical"/>
    <s v="Kowloon City"/>
    <s v="5+"/>
    <s v="Residential"/>
    <x v="0"/>
  </r>
  <r>
    <s v="Ctgoodjobs"/>
    <s v="System Administrator"/>
    <n v="40000"/>
    <s v="REST,SOAP,JDBC,MQ,sql"/>
    <n v="8"/>
    <s v="No"/>
    <s v="Network Engineer"/>
    <s v="5-day Work Week,Medical"/>
    <s v="Kowloon City"/>
    <s v="5+"/>
    <s v="Residential"/>
    <x v="0"/>
  </r>
  <r>
    <s v="Ctgoodjobs"/>
    <s v="IT Helpdesk"/>
    <n v="20000"/>
    <s v="Windows,Active Directory"/>
    <n v="2"/>
    <s v="No"/>
    <s v="Systems / Technical Support"/>
    <s v="5-day Work Week,Medical"/>
    <s v="Tai Po"/>
    <s v="1-3"/>
    <s v="Mixed-use"/>
    <x v="0"/>
  </r>
  <r>
    <s v="Ctgoodjobs"/>
    <s v="Data Centre Operator"/>
    <n v="22500"/>
    <s v="Data Center operation"/>
    <n v="2"/>
    <s v="No"/>
    <s v="Technical Support"/>
    <s v="5-day Work Week,Medical"/>
    <s v="Kwun Tong"/>
    <s v="1-3"/>
    <s v="Industrial"/>
    <x v="0"/>
  </r>
  <r>
    <s v="Ctgoodjobs"/>
    <s v="Junior IT Support"/>
    <n v="15500"/>
    <s v="Blackberry,iOS,Android"/>
    <n v="0"/>
    <s v="No"/>
    <s v="Technical Support"/>
    <s v="5-day Work Week"/>
    <s v="Southern"/>
    <s v="0-1"/>
    <s v="Residential"/>
    <x v="2"/>
  </r>
  <r>
    <s v="Ctgoodjobs"/>
    <s v="System Support Engineer"/>
    <n v="32500"/>
    <s v="Windows,Linux,VMware"/>
    <n v="3"/>
    <s v="Yes"/>
    <s v="System Engineer"/>
    <s v="5-day Work Week"/>
    <s v="Sham Shui Po"/>
    <s v="1-3"/>
    <s v="Industrial"/>
    <x v="2"/>
  </r>
  <r>
    <s v="Ctgoodjobs"/>
    <s v="Cybersecurity Manager"/>
    <n v="72500"/>
    <s v="SIEM,NGFW,WAF,XDR,SOAR,UEBA,API,TVM,K8S"/>
    <n v="10"/>
    <s v="Yes"/>
    <s v="System Engineer / Network Engineer"/>
    <s v="5-day Work Week,Medical"/>
    <s v="Kwun Tong"/>
    <s v="5+"/>
    <s v="Industrial"/>
    <x v="0"/>
  </r>
  <r>
    <s v="Ctgoodjobs"/>
    <s v="Network Specialist"/>
    <n v="70000"/>
    <s v="IP,WAF,SND,web"/>
    <n v="10"/>
    <s v="No"/>
    <s v="System Engineer / Network Engineer"/>
    <s v="5-day Work Week,Medical"/>
    <s v="Wan Chai"/>
    <s v="5+"/>
    <s v="Commercial"/>
    <x v="0"/>
  </r>
  <r>
    <s v="Ctgoodjobs"/>
    <s v="Software Engineer"/>
    <n v="42000"/>
    <s v="SIT,UAT,LangChain,Llamlandex,CrewAI,AutoGen,JavaScript"/>
    <n v="2"/>
    <s v="No"/>
    <s v="Software / Web Developer"/>
    <s v="5-day Work Week,Medical"/>
    <s v="Yau Tsim Mong"/>
    <s v="1-3"/>
    <s v="Commercial"/>
    <x v="0"/>
  </r>
  <r>
    <s v="Ctgoodjobs"/>
    <s v="Assistant IT Officer"/>
    <n v="16500"/>
    <s v="Windows,Microsoft Office"/>
    <n v="1"/>
    <s v="No"/>
    <s v="Systems / Technical Support"/>
    <m/>
    <s v="Kowloon City"/>
    <s v="0-1"/>
    <s v="Residential"/>
    <x v="1"/>
  </r>
  <r>
    <s v="Ctgoodjobs"/>
    <s v="Program Manager-Insurance"/>
    <n v="77500"/>
    <s v="POS"/>
    <n v="10"/>
    <s v="Yes"/>
    <s v="IT / Project Manager"/>
    <s v="5-day Work Week,Medical"/>
    <s v="Kwun Tong"/>
    <s v="5+"/>
    <s v="Industrial"/>
    <x v="0"/>
  </r>
  <r>
    <s v="Ctgoodjobs"/>
    <s v="IT Support Engineer"/>
    <n v="20000"/>
    <s v="Systems / Technical Support"/>
    <n v="2"/>
    <s v="No"/>
    <s v="Systems / Technical Support"/>
    <s v="5-day Work Week"/>
    <s v="Yau Tsim Mong"/>
    <s v="1-3"/>
    <s v="Commercial"/>
    <x v="2"/>
  </r>
  <r>
    <s v="Ctgoodjobs"/>
    <s v="ERP Solutions Engineer"/>
    <n v="40000"/>
    <s v="Microsoft,JSON,XML,CSV"/>
    <n v="3"/>
    <s v="No"/>
    <s v="Software / Web Developer"/>
    <s v="5-day Work Week,Discretionary bonus"/>
    <s v="Kwun Tong"/>
    <s v="1-3"/>
    <s v="Industrial"/>
    <x v="0"/>
  </r>
  <r>
    <s v="Ctgoodjobs"/>
    <s v="Developer - IBM Maximo"/>
    <n v="30000"/>
    <s v="MIF,MEA,API,maximo,JavaScript,Python"/>
    <n v="3"/>
    <s v="Yes"/>
    <s v="Database Administrator"/>
    <s v="5-day Work Week,Medical"/>
    <s v="Kwun Tong"/>
    <s v="1-3"/>
    <s v="Industrial"/>
    <x v="0"/>
  </r>
  <r>
    <s v="Ctgoodjobs"/>
    <s v="Onsite Support Engineer"/>
    <n v="19000"/>
    <s v="Windows,Mac,networking"/>
    <n v="1"/>
    <s v="No"/>
    <s v="Systems / Technical Support"/>
    <s v="5-day Work Week,Medical"/>
    <s v="Tai Po"/>
    <s v="0-1"/>
    <s v="Mixed-use"/>
    <x v="0"/>
  </r>
  <r>
    <s v="Recruit"/>
    <s v="IT Support Engineer"/>
    <n v="35000"/>
    <s v="GPO,AD,ITIL"/>
    <n v="2"/>
    <s v="No"/>
    <s v="Systems / Technical Support"/>
    <m/>
    <s v="Central and Western"/>
    <s v="1-3"/>
    <s v="Commercial"/>
    <x v="1"/>
  </r>
  <r>
    <s v="Recruit"/>
    <s v="Web Developer"/>
    <n v="27500"/>
    <s v="SQL,PHP,Javascript,Linux"/>
    <n v="1"/>
    <s v="No"/>
    <s v="Software / Web Developer"/>
    <m/>
    <s v="Southern"/>
    <s v="0-1"/>
    <s v="Residential"/>
    <x v="1"/>
  </r>
  <r>
    <s v="Recruit"/>
    <s v="IT Support Engineer"/>
    <n v="27500"/>
    <s v="CCNA,CCNP,Microsoft"/>
    <n v="1"/>
    <s v="No"/>
    <s v="Help Desk &amp; IT Support"/>
    <m/>
    <s v="Southern"/>
    <s v="0-1"/>
    <s v="Residential"/>
    <x v="1"/>
  </r>
  <r>
    <s v="Recruit"/>
    <s v="IT Engineer"/>
    <n v="18000"/>
    <s v="Windows"/>
    <n v="2"/>
    <s v="No"/>
    <s v="Systems / Technical Support"/>
    <s v="5-day Work Week"/>
    <s v="Southern"/>
    <s v="1-3"/>
    <s v="Residential"/>
    <x v="2"/>
  </r>
  <r>
    <s v="Recruit"/>
    <s v="Data Center Operator"/>
    <n v="20000"/>
    <s v="data center operations"/>
    <n v="1"/>
    <s v="No"/>
    <s v="Help Desk &amp; IT Support"/>
    <m/>
    <s v="Sham Shui Po"/>
    <s v="0-1"/>
    <s v="Industrial"/>
    <x v="1"/>
  </r>
  <r>
    <s v="Recruit"/>
    <s v="Programmer - .Net"/>
    <n v="24000"/>
    <s v="C#,C++,XML,Swagger,Docker"/>
    <n v="2"/>
    <s v="No"/>
    <s v="Software / Web Developer"/>
    <s v="5-day Work Week,Medical"/>
    <s v="Southern"/>
    <s v="1-3"/>
    <s v="Residential"/>
    <x v="0"/>
  </r>
  <r>
    <s v="Recruit"/>
    <s v="IT System Support"/>
    <n v="26000"/>
    <s v="CCNA,Linux,CCNP"/>
    <n v="1"/>
    <s v="No"/>
    <s v="Systems / Technical Support"/>
    <s v="5-day Work Week"/>
    <s v="Southern"/>
    <s v="0-1"/>
    <s v="Residential"/>
    <x v="2"/>
  </r>
  <r>
    <s v="Recruit"/>
    <s v="IT Assistant"/>
    <n v="20000"/>
    <s v="Windows"/>
    <n v="2"/>
    <s v="No"/>
    <s v="Help Desk &amp; IT Support"/>
    <s v="5-day Work Week"/>
    <s v="Sai Kung"/>
    <s v="1-3"/>
    <s v="Residential"/>
    <x v="2"/>
  </r>
  <r>
    <s v="Recruit"/>
    <s v="IT Assistant/Technician"/>
    <n v="19535"/>
    <s v="Windows, networking"/>
    <n v="3"/>
    <s v="No"/>
    <s v="Help Desk &amp; IT Support"/>
    <m/>
    <s v="Tai Po"/>
    <s v="1-3"/>
    <s v="Mixed-use"/>
    <x v="1"/>
  </r>
  <r>
    <s v="Recruit"/>
    <s v="Java Developer"/>
    <n v="21500"/>
    <s v="cloud-based, web"/>
    <n v="0"/>
    <s v="No"/>
    <s v="Software / Web Developer"/>
    <s v="5-day Work Week"/>
    <s v="Tsuen Wan"/>
    <s v="0-1"/>
    <s v="Industrial"/>
    <x v="2"/>
  </r>
  <r>
    <s v="Recruit"/>
    <s v="Network Engineer"/>
    <n v="25500"/>
    <s v="WLAN,VLAN,STP,RSTP,MSTP"/>
    <n v="8"/>
    <s v="No"/>
    <s v="Software / Web Developer"/>
    <s v="5-day Work Week"/>
    <s v="Eastern"/>
    <s v="5+"/>
    <s v="Mixed-use"/>
    <x v="2"/>
  </r>
  <r>
    <s v="Recruit"/>
    <s v="Computer Operator"/>
    <n v="15930"/>
    <s v="network,data centre"/>
    <n v="1"/>
    <s v="No"/>
    <s v="Help Desk &amp; IT Support"/>
    <m/>
    <s v="Wong Tai Sin"/>
    <s v="0-1"/>
    <s v="Residential"/>
    <x v="1"/>
  </r>
  <r>
    <s v="Recruit"/>
    <s v="Technician"/>
    <n v="22500"/>
    <s v="TCP/IP,Linux,CCNA/CCVP"/>
    <n v="2"/>
    <s v="No"/>
    <s v="Help Desk &amp; IT Support"/>
    <m/>
    <s v="Kwun Tong"/>
    <s v="1-3"/>
    <s v="Industrial"/>
    <x v="1"/>
  </r>
  <r>
    <s v="Recruit"/>
    <s v="Junior Technician"/>
    <n v="15500"/>
    <s v="Windows"/>
    <n v="2"/>
    <s v="No"/>
    <s v="Help Desk &amp; IT Support"/>
    <m/>
    <s v="Sham Shui Po"/>
    <s v="1-3"/>
    <s v="Industrial"/>
    <x v="1"/>
  </r>
  <r>
    <s v="Recruit"/>
    <s v="Python Developer"/>
    <n v="20000"/>
    <s v="python"/>
    <n v="1"/>
    <s v="No"/>
    <s v="Software / Web Developer"/>
    <s v="5-day Work Week"/>
    <s v="Kwun Tong"/>
    <s v="0-1"/>
    <s v="Industrial"/>
    <x v="2"/>
  </r>
  <r>
    <s v="Recruit"/>
    <s v="Analyst Programmer"/>
    <n v="20000"/>
    <s v="C#,SQL,ASP"/>
    <n v="1"/>
    <s v="No"/>
    <s v="Software / Web Developer"/>
    <s v="5-day Work Week"/>
    <s v="Southern"/>
    <s v="0-1"/>
    <s v="Residential"/>
    <x v="2"/>
  </r>
  <r>
    <s v="Recruit"/>
    <s v="System Analysis"/>
    <n v="60000"/>
    <s v="CSS,angular,nodejs"/>
    <n v="5"/>
    <s v="No"/>
    <s v="Software / Web Developer"/>
    <s v="5-day Work Week"/>
    <s v="Sham Shui Po"/>
    <s v="3-5"/>
    <s v="Industrial"/>
    <x v="2"/>
  </r>
  <r>
    <s v="Recruit"/>
    <s v="Software Engineer"/>
    <n v="25000"/>
    <s v="CSS,nodejs,database,docker"/>
    <n v="2"/>
    <s v="Yes"/>
    <s v="Software / Web Developer"/>
    <s v="5-day Work Week"/>
    <s v="Sham Shui Po"/>
    <s v="1-3"/>
    <s v="Industrial"/>
    <x v="2"/>
  </r>
  <r>
    <s v="Recruit"/>
    <s v="Project Manager"/>
    <n v="25000"/>
    <s v="network,data centre"/>
    <n v="1"/>
    <s v="Yes"/>
    <s v="Software / Web Developer"/>
    <s v="5-day Work Week"/>
    <s v="Islands"/>
    <s v="0-1"/>
    <s v="Industrial"/>
    <x v="2"/>
  </r>
  <r>
    <s v="Recruit"/>
    <s v="AI Developer"/>
    <n v="35000"/>
    <s v="AI,LLM,Python,java"/>
    <n v="4"/>
    <s v="Yes"/>
    <s v="Software / Web Developer"/>
    <m/>
    <s v="Central and Western"/>
    <s v="3-5"/>
    <s v="Commercial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7E43A7-4E71-4272-AAFE-2298F8DEB496}" name="PivotTable1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Benefits Score">
  <location ref="G29:H33" firstHeaderRow="1" firstDataRow="1" firstDataCol="1"/>
  <pivotFields count="12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alary" fld="2" subtotal="average" baseField="11" baseItem="0" numFmtId="44"/>
  </dataFields>
  <formats count="2">
    <format dxfId="1">
      <pivotArea field="11" type="button" dataOnly="0" labelOnly="1" outline="0" axis="axisRow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AE7F87-7024-41E2-A5DE-1B27AD580150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ocation">
  <location ref="G20:I25" firstHeaderRow="0" firstDataRow="1" firstDataCol="1"/>
  <pivotFields count="11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6">
        <item x="8"/>
        <item x="14"/>
        <item x="0"/>
        <item x="12"/>
        <item x="11"/>
        <item x="5"/>
        <item x="13"/>
        <item x="3"/>
        <item x="7"/>
        <item x="6"/>
        <item x="10"/>
        <item x="1"/>
        <item x="2"/>
        <item x="4"/>
        <item x="9"/>
        <item t="default"/>
      </items>
    </pivotField>
    <pivotField showAll="0"/>
    <pivotField axis="axisRow" showAll="0">
      <items count="5">
        <item x="1"/>
        <item x="0"/>
        <item x="3"/>
        <item x="2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Job" fld="6" subtotal="count" baseField="0" baseItem="0"/>
    <dataField name="%" fld="6" subtotal="count" showDataAs="percentOfTotal" baseField="0" baseItem="0" numFmtId="10"/>
  </dataFields>
  <formats count="3">
    <format dxfId="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">
      <pivotArea field="10" type="button" dataOnly="0" labelOnly="1" outline="0" axis="axisRow" fieldPosition="0"/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A75525-98EB-47E8-B614-9A3DB7E1273E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latform" colHeaderCaption="">
  <location ref="G11:J16" firstHeaderRow="1" firstDataRow="2" firstDataCol="1"/>
  <pivotFields count="10"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Degree-Y&amp;N" fld="5" subtotal="count" showDataAs="percentOfRow" baseField="0" baseItem="0" numFmtId="10"/>
  </dataFields>
  <formats count="4">
    <format dxfId="16">
      <pivotArea field="0" type="button" dataOnly="0" labelOnly="1" outline="0" axis="axisRow" fieldPosition="0"/>
    </format>
    <format dxfId="15">
      <pivotArea dataOnly="0" labelOnly="1" fieldPosition="0">
        <references count="1">
          <reference field="5" count="0"/>
        </references>
      </pivotArea>
    </format>
    <format dxfId="14">
      <pivotArea dataOnly="0" labelOnly="1" grandCol="1" outline="0" fieldPosition="0"/>
    </format>
    <format dxfId="5">
      <pivotArea type="origin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44ADF7-CC93-4316-898B-FC457E192E11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latform">
  <location ref="G2:H6" firstHeaderRow="1" firstDataRow="1" firstDataCol="1"/>
  <pivotFields count="10"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Experience" fld="4" subtotal="average" baseField="0" baseItem="0"/>
  </dataFields>
  <formats count="2">
    <format dxfId="13">
      <pivotArea field="0" type="button" dataOnly="0" labelOnly="1" outline="0" axis="axisRow" fieldPosition="0"/>
    </format>
    <format dxfId="1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14DD30-7194-49D2-8ABE-D9F4EFB72849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0:C33" firstHeaderRow="0" firstDataRow="1" firstDataCol="1" rowPageCount="1" colPageCount="1"/>
  <pivotFields count="10">
    <pivotField showAll="0"/>
    <pivotField showAll="0"/>
    <pivotField dataField="1"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axis="axisPage" multipleItemSelectionAllowed="1" showAll="0">
      <items count="5">
        <item x="3"/>
        <item h="1" x="2"/>
        <item h="1" x="1"/>
        <item h="1" x="0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Average of Salary" fld="2" subtotal="average" baseField="5" baseItem="0" numFmtId="44"/>
    <dataField name="Count" fld="5" subtotal="count" baseField="0" baseItem="0"/>
  </dataFields>
  <formats count="16">
    <format dxfId="33">
      <pivotArea type="all" dataOnly="0" outline="0" fieldPosition="0"/>
    </format>
    <format dxfId="34">
      <pivotArea outline="0" collapsedLevelsAreSubtotals="1" fieldPosition="0"/>
    </format>
    <format dxfId="35">
      <pivotArea field="5" type="button" dataOnly="0" labelOnly="1" outline="0" axis="axisRow" fieldPosition="0"/>
    </format>
    <format dxfId="36">
      <pivotArea dataOnly="0" labelOnly="1" fieldPosition="0">
        <references count="1">
          <reference field="5" count="0"/>
        </references>
      </pivotArea>
    </format>
    <format dxfId="37">
      <pivotArea dataOnly="0" labelOnly="1" grandRow="1" outline="0" fieldPosition="0"/>
    </format>
    <format dxfId="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9">
      <pivotArea type="all" dataOnly="0" outline="0" fieldPosition="0"/>
    </format>
    <format dxfId="40">
      <pivotArea outline="0" collapsedLevelsAreSubtotals="1" fieldPosition="0"/>
    </format>
    <format dxfId="41">
      <pivotArea field="5" type="button" dataOnly="0" labelOnly="1" outline="0" axis="axisRow" fieldPosition="0"/>
    </format>
    <format dxfId="42">
      <pivotArea dataOnly="0" labelOnly="1" fieldPosition="0">
        <references count="1">
          <reference field="5" count="0"/>
        </references>
      </pivotArea>
    </format>
    <format dxfId="43">
      <pivotArea dataOnly="0" labelOnly="1" grandRow="1" outline="0" fieldPosition="0"/>
    </format>
    <format dxfId="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3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CD7566-7869-4592-BE4F-EEFEFAD5511D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7:C40" firstHeaderRow="0" firstDataRow="1" firstDataCol="1" rowPageCount="1" colPageCount="1"/>
  <pivotFields count="10">
    <pivotField showAll="0"/>
    <pivotField showAll="0"/>
    <pivotField dataField="1"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axis="axisPage" multipleItemSelectionAllowed="1" showAll="0">
      <items count="5">
        <item h="1" x="3"/>
        <item x="2"/>
        <item h="1" x="1"/>
        <item h="1" x="0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Average of Salary" fld="2" subtotal="average" baseField="5" baseItem="0" numFmtId="44"/>
    <dataField name="Count" fld="5" subtotal="count" baseField="0" baseItem="0"/>
  </dataFields>
  <formats count="16">
    <format dxfId="45">
      <pivotArea type="all" dataOnly="0" outline="0" fieldPosition="0"/>
    </format>
    <format dxfId="46">
      <pivotArea outline="0" collapsedLevelsAreSubtotals="1" fieldPosition="0"/>
    </format>
    <format dxfId="47">
      <pivotArea field="5" type="button" dataOnly="0" labelOnly="1" outline="0" axis="axisRow" fieldPosition="0"/>
    </format>
    <format dxfId="48">
      <pivotArea dataOnly="0" labelOnly="1" fieldPosition="0">
        <references count="1">
          <reference field="5" count="0"/>
        </references>
      </pivotArea>
    </format>
    <format dxfId="49">
      <pivotArea dataOnly="0" labelOnly="1" grandRow="1" outline="0" fieldPosition="0"/>
    </format>
    <format dxfId="5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1">
      <pivotArea type="all" dataOnly="0" outline="0" fieldPosition="0"/>
    </format>
    <format dxfId="52">
      <pivotArea outline="0" collapsedLevelsAreSubtotals="1" fieldPosition="0"/>
    </format>
    <format dxfId="53">
      <pivotArea field="5" type="button" dataOnly="0" labelOnly="1" outline="0" axis="axisRow" fieldPosition="0"/>
    </format>
    <format dxfId="54">
      <pivotArea dataOnly="0" labelOnly="1" fieldPosition="0">
        <references count="1">
          <reference field="5" count="0"/>
        </references>
      </pivotArea>
    </format>
    <format dxfId="55">
      <pivotArea dataOnly="0" labelOnly="1" grandRow="1" outline="0" fieldPosition="0"/>
    </format>
    <format dxfId="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9C61F0-C4F5-4750-8C13-76D2D756D50B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4:C47" firstHeaderRow="0" firstDataRow="1" firstDataCol="1" rowPageCount="1" colPageCount="1"/>
  <pivotFields count="10">
    <pivotField showAll="0"/>
    <pivotField showAll="0"/>
    <pivotField dataField="1"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axis="axisPage" multipleItemSelectionAllowed="1" showAll="0">
      <items count="5">
        <item h="1" x="3"/>
        <item h="1" x="2"/>
        <item x="1"/>
        <item h="1" x="0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Average of Salary" fld="2" subtotal="average" baseField="5" baseItem="0" numFmtId="44"/>
    <dataField name="Count" fld="5" subtotal="count" baseField="0" baseItem="0"/>
  </dataFields>
  <formats count="16">
    <format dxfId="57">
      <pivotArea type="all" dataOnly="0" outline="0" fieldPosition="0"/>
    </format>
    <format dxfId="58">
      <pivotArea outline="0" collapsedLevelsAreSubtotals="1" fieldPosition="0"/>
    </format>
    <format dxfId="59">
      <pivotArea field="5" type="button" dataOnly="0" labelOnly="1" outline="0" axis="axisRow" fieldPosition="0"/>
    </format>
    <format dxfId="60">
      <pivotArea dataOnly="0" labelOnly="1" fieldPosition="0">
        <references count="1">
          <reference field="5" count="0"/>
        </references>
      </pivotArea>
    </format>
    <format dxfId="61">
      <pivotArea dataOnly="0" labelOnly="1" grandRow="1" outline="0" fieldPosition="0"/>
    </format>
    <format dxfId="6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3">
      <pivotArea type="all" dataOnly="0" outline="0" fieldPosition="0"/>
    </format>
    <format dxfId="64">
      <pivotArea outline="0" collapsedLevelsAreSubtotals="1" fieldPosition="0"/>
    </format>
    <format dxfId="65">
      <pivotArea field="5" type="button" dataOnly="0" labelOnly="1" outline="0" axis="axisRow" fieldPosition="0"/>
    </format>
    <format dxfId="66">
      <pivotArea dataOnly="0" labelOnly="1" fieldPosition="0">
        <references count="1">
          <reference field="5" count="0"/>
        </references>
      </pivotArea>
    </format>
    <format dxfId="67">
      <pivotArea dataOnly="0" labelOnly="1" grandRow="1" outline="0" fieldPosition="0"/>
    </format>
    <format dxfId="6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DC7884-7EEE-46F4-B432-F1E03156E857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1:C54" firstHeaderRow="0" firstDataRow="1" firstDataCol="1" rowPageCount="1" colPageCount="1"/>
  <pivotFields count="10">
    <pivotField showAll="0"/>
    <pivotField showAll="0"/>
    <pivotField dataField="1"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axis="axisPage" multipleItemSelectionAllowed="1" showAll="0">
      <items count="5">
        <item h="1" x="3"/>
        <item h="1" x="2"/>
        <item h="1" x="1"/>
        <item x="0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Average of Salary" fld="2" subtotal="average" baseField="5" baseItem="0" numFmtId="44"/>
    <dataField name="Count" fld="5" subtotal="count" baseField="0" baseItem="0"/>
  </dataFields>
  <formats count="16">
    <format dxfId="75">
      <pivotArea type="all" dataOnly="0" outline="0" fieldPosition="0"/>
    </format>
    <format dxfId="76">
      <pivotArea outline="0" collapsedLevelsAreSubtotals="1" fieldPosition="0"/>
    </format>
    <format dxfId="77">
      <pivotArea field="5" type="button" dataOnly="0" labelOnly="1" outline="0" axis="axisRow" fieldPosition="0"/>
    </format>
    <format dxfId="78">
      <pivotArea dataOnly="0" labelOnly="1" fieldPosition="0">
        <references count="1">
          <reference field="5" count="0"/>
        </references>
      </pivotArea>
    </format>
    <format dxfId="79">
      <pivotArea dataOnly="0" labelOnly="1" grandRow="1" outline="0" fieldPosition="0"/>
    </format>
    <format dxfId="8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5" type="button" dataOnly="0" labelOnly="1" outline="0" axis="axisRow" fieldPosition="0"/>
    </format>
    <format dxfId="71">
      <pivotArea dataOnly="0" labelOnly="1" fieldPosition="0">
        <references count="1">
          <reference field="5" count="0"/>
        </references>
      </pivotArea>
    </format>
    <format dxfId="70">
      <pivotArea dataOnly="0" labelOnly="1" grandRow="1" outline="0" fieldPosition="0"/>
    </format>
    <format dxfId="6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7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0BE4E3-F16E-4768-992B-2D55D804B591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gree">
  <location ref="A20:C23" firstHeaderRow="0" firstDataRow="1" firstDataCol="1"/>
  <pivotFields count="10">
    <pivotField showAll="0"/>
    <pivotField showAll="0"/>
    <pivotField dataField="1"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alary" fld="2" subtotal="average" baseField="5" baseItem="0" numFmtId="44"/>
    <dataField name="Count" fld="5" subtotal="count" baseField="0" baseItem="0"/>
  </dataFields>
  <formats count="3">
    <format dxfId="8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">
      <pivotArea field="5" type="button" dataOnly="0" labelOnly="1" outline="0" axis="axisRow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5A5812-666A-43C1-B35F-419B58431921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xperience">
  <location ref="A11:C16" firstHeaderRow="0" firstDataRow="1" firstDataCol="1"/>
  <pivotFields count="10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3"/>
        <item x="2"/>
        <item x="1"/>
        <item x="0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alary" fld="2" subtotal="average" baseField="9" baseItem="1" numFmtId="44"/>
    <dataField name="Count" fld="9" subtotal="count" baseField="0" baseItem="0"/>
  </dataFields>
  <formats count="6">
    <format dxfId="83">
      <pivotArea dataOnly="0" outline="0" fieldPosition="0">
        <references count="1">
          <reference field="4294967294" count="1">
            <x v="1"/>
          </reference>
        </references>
      </pivotArea>
    </format>
    <format dxfId="82">
      <pivotArea dataOnly="0" labelOnly="1" fieldPosition="0">
        <references count="1">
          <reference field="9" count="0"/>
        </references>
      </pivotArea>
    </format>
    <format dxfId="11">
      <pivotArea field="9" type="button" dataOnly="0" labelOnly="1" outline="0" axis="axisRow" fieldPosition="0"/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">
      <pivotArea field="9" type="button" dataOnly="0" labelOnly="1" outline="0" axis="axisRow" fieldPosition="0"/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7124-F3D7-464A-8968-73DE16010BDE}">
  <dimension ref="A1:L61"/>
  <sheetViews>
    <sheetView workbookViewId="0"/>
  </sheetViews>
  <sheetFormatPr defaultColWidth="18.42578125" defaultRowHeight="15" x14ac:dyDescent="0.25"/>
  <cols>
    <col min="1" max="1" width="11" style="22" bestFit="1" customWidth="1"/>
    <col min="2" max="2" width="38.140625" style="22" bestFit="1" customWidth="1"/>
    <col min="3" max="3" width="8.5703125" style="21" bestFit="1" customWidth="1"/>
    <col min="4" max="4" width="18.42578125" style="22"/>
    <col min="5" max="6" width="13.28515625" style="23" customWidth="1"/>
    <col min="7" max="9" width="18.42578125" style="22"/>
    <col min="10" max="10" width="18.42578125" style="23"/>
    <col min="11" max="11" width="18.42578125" style="22"/>
    <col min="12" max="12" width="17.5703125" style="23" customWidth="1"/>
    <col min="13" max="16384" width="18.42578125" style="21"/>
  </cols>
  <sheetData>
    <row r="1" spans="1:12" x14ac:dyDescent="0.25">
      <c r="A1" s="20" t="s">
        <v>0</v>
      </c>
      <c r="B1" s="17" t="s">
        <v>1</v>
      </c>
      <c r="C1" s="18" t="s">
        <v>2</v>
      </c>
      <c r="D1" s="17" t="s">
        <v>3</v>
      </c>
      <c r="E1" s="19" t="s">
        <v>4</v>
      </c>
      <c r="F1" s="19" t="s">
        <v>5</v>
      </c>
      <c r="G1" s="17" t="s">
        <v>6</v>
      </c>
      <c r="H1" s="17" t="s">
        <v>7</v>
      </c>
      <c r="I1" s="20" t="s">
        <v>8</v>
      </c>
      <c r="J1" s="19" t="s">
        <v>165</v>
      </c>
      <c r="K1" s="20" t="s">
        <v>194</v>
      </c>
      <c r="L1" s="19" t="s">
        <v>200</v>
      </c>
    </row>
    <row r="2" spans="1:12" x14ac:dyDescent="0.25">
      <c r="A2" s="22" t="s">
        <v>164</v>
      </c>
      <c r="B2" s="22" t="s">
        <v>9</v>
      </c>
      <c r="C2" s="21">
        <v>45000</v>
      </c>
      <c r="D2" s="22" t="s">
        <v>10</v>
      </c>
      <c r="E2" s="23">
        <v>6</v>
      </c>
      <c r="F2" s="23" t="s">
        <v>11</v>
      </c>
      <c r="G2" s="22" t="s">
        <v>12</v>
      </c>
      <c r="H2" s="22" t="s">
        <v>13</v>
      </c>
      <c r="I2" s="22" t="s">
        <v>14</v>
      </c>
      <c r="J2" s="23" t="str">
        <f>IF(E2&lt;=1,"0-1",IF(E2&lt;=3,"1-3",IF(E2&lt;=5,"3-5","5+")))</f>
        <v>5+</v>
      </c>
      <c r="K2" s="22" t="str">
        <f>VLOOKUP(I2, 'HK 18 Districts by Area Type'!A:B,2,FALSE)</f>
        <v>Industrial</v>
      </c>
      <c r="L2" s="23">
        <f>IF(H2="",0,LEN(H2)-LEN(SUBSTITUTE(H2,",",""))+1)</f>
        <v>2</v>
      </c>
    </row>
    <row r="3" spans="1:12" x14ac:dyDescent="0.25">
      <c r="A3" s="22" t="s">
        <v>164</v>
      </c>
      <c r="B3" s="22" t="s">
        <v>15</v>
      </c>
      <c r="C3" s="21">
        <v>71500</v>
      </c>
      <c r="D3" s="22" t="s">
        <v>16</v>
      </c>
      <c r="E3" s="23">
        <v>10</v>
      </c>
      <c r="F3" s="23" t="s">
        <v>11</v>
      </c>
      <c r="G3" s="22" t="s">
        <v>17</v>
      </c>
      <c r="I3" s="22" t="s">
        <v>18</v>
      </c>
      <c r="J3" s="23" t="str">
        <f t="shared" ref="J3:J61" si="0">IF(E3&lt;=1,"0-1",IF(E3&lt;=3,"1-3",IF(E3&lt;=5,"3-5","5+")))</f>
        <v>5+</v>
      </c>
      <c r="K3" s="22" t="str">
        <f>VLOOKUP(I3, 'HK 18 Districts by Area Type'!A:B,2,FALSE)</f>
        <v>Commercial</v>
      </c>
      <c r="L3" s="23">
        <f t="shared" ref="L3:L61" si="1">IF(H3="",0,LEN(H3)-LEN(SUBSTITUTE(H3,",",""))+1)</f>
        <v>0</v>
      </c>
    </row>
    <row r="4" spans="1:12" x14ac:dyDescent="0.25">
      <c r="A4" s="22" t="s">
        <v>164</v>
      </c>
      <c r="B4" s="22" t="s">
        <v>19</v>
      </c>
      <c r="C4" s="21">
        <v>52500</v>
      </c>
      <c r="D4" s="22" t="s">
        <v>20</v>
      </c>
      <c r="E4" s="23">
        <v>5</v>
      </c>
      <c r="F4" s="23" t="s">
        <v>21</v>
      </c>
      <c r="G4" s="22" t="s">
        <v>17</v>
      </c>
      <c r="I4" s="22" t="s">
        <v>22</v>
      </c>
      <c r="J4" s="23" t="str">
        <f t="shared" si="0"/>
        <v>3-5</v>
      </c>
      <c r="K4" s="22" t="str">
        <f>VLOOKUP(I4, 'HK 18 Districts by Area Type'!A:B,2,FALSE)</f>
        <v>Residential</v>
      </c>
      <c r="L4" s="23">
        <f t="shared" si="1"/>
        <v>0</v>
      </c>
    </row>
    <row r="5" spans="1:12" x14ac:dyDescent="0.25">
      <c r="A5" s="22" t="s">
        <v>164</v>
      </c>
      <c r="B5" s="22" t="s">
        <v>23</v>
      </c>
      <c r="C5" s="21">
        <v>55000</v>
      </c>
      <c r="D5" s="22" t="s">
        <v>24</v>
      </c>
      <c r="E5" s="23">
        <v>5</v>
      </c>
      <c r="F5" s="23" t="s">
        <v>11</v>
      </c>
      <c r="G5" s="22" t="s">
        <v>25</v>
      </c>
      <c r="I5" s="22" t="s">
        <v>150</v>
      </c>
      <c r="J5" s="23" t="str">
        <f t="shared" si="0"/>
        <v>3-5</v>
      </c>
      <c r="K5" s="22" t="str">
        <f>VLOOKUP(I5, 'HK 18 Districts by Area Type'!A:B,2,FALSE)</f>
        <v>Industrial</v>
      </c>
      <c r="L5" s="23">
        <f t="shared" si="1"/>
        <v>0</v>
      </c>
    </row>
    <row r="6" spans="1:12" x14ac:dyDescent="0.25">
      <c r="A6" s="22" t="s">
        <v>164</v>
      </c>
      <c r="B6" s="22" t="s">
        <v>26</v>
      </c>
      <c r="C6" s="21">
        <v>25000</v>
      </c>
      <c r="D6" s="22" t="s">
        <v>27</v>
      </c>
      <c r="E6" s="23">
        <v>2</v>
      </c>
      <c r="F6" s="23" t="s">
        <v>11</v>
      </c>
      <c r="G6" s="22" t="s">
        <v>28</v>
      </c>
      <c r="H6" s="22" t="s">
        <v>29</v>
      </c>
      <c r="I6" s="22" t="s">
        <v>30</v>
      </c>
      <c r="J6" s="23" t="str">
        <f t="shared" si="0"/>
        <v>1-3</v>
      </c>
      <c r="K6" s="22" t="str">
        <f>VLOOKUP(I6, 'HK 18 Districts by Area Type'!A:B,2,FALSE)</f>
        <v>Commercial</v>
      </c>
      <c r="L6" s="23">
        <f t="shared" si="1"/>
        <v>2</v>
      </c>
    </row>
    <row r="7" spans="1:12" x14ac:dyDescent="0.25">
      <c r="A7" s="22" t="s">
        <v>164</v>
      </c>
      <c r="B7" s="22" t="s">
        <v>31</v>
      </c>
      <c r="C7" s="21">
        <v>45000</v>
      </c>
      <c r="D7" s="22" t="s">
        <v>32</v>
      </c>
      <c r="E7" s="23">
        <v>2</v>
      </c>
      <c r="F7" s="23" t="s">
        <v>21</v>
      </c>
      <c r="G7" s="22" t="s">
        <v>28</v>
      </c>
      <c r="H7" s="22" t="s">
        <v>33</v>
      </c>
      <c r="I7" s="22" t="s">
        <v>45</v>
      </c>
      <c r="J7" s="23" t="str">
        <f t="shared" si="0"/>
        <v>1-3</v>
      </c>
      <c r="K7" s="22" t="str">
        <f>VLOOKUP(I7, 'HK 18 Districts by Area Type'!A:B,2,FALSE)</f>
        <v>Industrial</v>
      </c>
      <c r="L7" s="23">
        <f t="shared" si="1"/>
        <v>1</v>
      </c>
    </row>
    <row r="8" spans="1:12" x14ac:dyDescent="0.25">
      <c r="A8" s="22" t="s">
        <v>164</v>
      </c>
      <c r="B8" s="22" t="s">
        <v>34</v>
      </c>
      <c r="C8" s="21">
        <v>25000</v>
      </c>
      <c r="D8" s="22" t="s">
        <v>35</v>
      </c>
      <c r="E8" s="23">
        <v>3</v>
      </c>
      <c r="F8" s="23" t="s">
        <v>11</v>
      </c>
      <c r="G8" s="22" t="s">
        <v>36</v>
      </c>
      <c r="H8" s="22" t="s">
        <v>33</v>
      </c>
      <c r="I8" s="22" t="s">
        <v>30</v>
      </c>
      <c r="J8" s="23" t="str">
        <f t="shared" si="0"/>
        <v>1-3</v>
      </c>
      <c r="K8" s="22" t="str">
        <f>VLOOKUP(I8, 'HK 18 Districts by Area Type'!A:B,2,FALSE)</f>
        <v>Commercial</v>
      </c>
      <c r="L8" s="23">
        <f t="shared" si="1"/>
        <v>1</v>
      </c>
    </row>
    <row r="9" spans="1:12" x14ac:dyDescent="0.25">
      <c r="A9" s="22" t="s">
        <v>164</v>
      </c>
      <c r="B9" s="22" t="s">
        <v>37</v>
      </c>
      <c r="C9" s="21">
        <v>33500</v>
      </c>
      <c r="D9" s="22" t="s">
        <v>38</v>
      </c>
      <c r="E9" s="23">
        <v>3</v>
      </c>
      <c r="F9" s="23" t="s">
        <v>21</v>
      </c>
      <c r="G9" s="22" t="s">
        <v>25</v>
      </c>
      <c r="I9" s="22" t="s">
        <v>39</v>
      </c>
      <c r="J9" s="23" t="str">
        <f t="shared" si="0"/>
        <v>1-3</v>
      </c>
      <c r="K9" s="22" t="str">
        <f>VLOOKUP(I9, 'HK 18 Districts by Area Type'!A:B,2,FALSE)</f>
        <v>Mixed-use</v>
      </c>
      <c r="L9" s="23">
        <f t="shared" si="1"/>
        <v>0</v>
      </c>
    </row>
    <row r="10" spans="1:12" x14ac:dyDescent="0.25">
      <c r="A10" s="22" t="s">
        <v>164</v>
      </c>
      <c r="B10" s="22" t="s">
        <v>40</v>
      </c>
      <c r="C10" s="21">
        <v>111000</v>
      </c>
      <c r="D10" s="22" t="s">
        <v>41</v>
      </c>
      <c r="E10" s="23">
        <v>15</v>
      </c>
      <c r="F10" s="23" t="s">
        <v>21</v>
      </c>
      <c r="G10" s="22" t="s">
        <v>42</v>
      </c>
      <c r="I10" s="22" t="s">
        <v>79</v>
      </c>
      <c r="J10" s="23" t="str">
        <f t="shared" si="0"/>
        <v>5+</v>
      </c>
      <c r="K10" s="22" t="str">
        <f>VLOOKUP(I10, 'HK 18 Districts by Area Type'!A:B,2,FALSE)</f>
        <v>Residential</v>
      </c>
      <c r="L10" s="23">
        <f t="shared" si="1"/>
        <v>0</v>
      </c>
    </row>
    <row r="11" spans="1:12" x14ac:dyDescent="0.25">
      <c r="A11" s="22" t="s">
        <v>164</v>
      </c>
      <c r="B11" s="22" t="s">
        <v>43</v>
      </c>
      <c r="C11" s="21">
        <v>46500</v>
      </c>
      <c r="D11" s="22" t="s">
        <v>44</v>
      </c>
      <c r="E11" s="23">
        <v>3</v>
      </c>
      <c r="F11" s="23" t="s">
        <v>11</v>
      </c>
      <c r="G11" s="22" t="s">
        <v>42</v>
      </c>
      <c r="I11" s="22" t="s">
        <v>45</v>
      </c>
      <c r="J11" s="23" t="str">
        <f t="shared" si="0"/>
        <v>1-3</v>
      </c>
      <c r="K11" s="22" t="str">
        <f>VLOOKUP(I11, 'HK 18 Districts by Area Type'!A:B,2,FALSE)</f>
        <v>Industrial</v>
      </c>
      <c r="L11" s="23">
        <f t="shared" si="1"/>
        <v>0</v>
      </c>
    </row>
    <row r="12" spans="1:12" x14ac:dyDescent="0.25">
      <c r="A12" s="22" t="s">
        <v>164</v>
      </c>
      <c r="B12" s="22" t="s">
        <v>37</v>
      </c>
      <c r="C12" s="21">
        <v>29000</v>
      </c>
      <c r="D12" s="22" t="s">
        <v>46</v>
      </c>
      <c r="E12" s="23">
        <v>3</v>
      </c>
      <c r="F12" s="23" t="s">
        <v>11</v>
      </c>
      <c r="G12" s="22" t="s">
        <v>28</v>
      </c>
      <c r="I12" s="22" t="s">
        <v>47</v>
      </c>
      <c r="J12" s="23" t="str">
        <f t="shared" si="0"/>
        <v>1-3</v>
      </c>
      <c r="K12" s="22" t="str">
        <f>VLOOKUP(I12, 'HK 18 Districts by Area Type'!A:B,2,FALSE)</f>
        <v>Commercial</v>
      </c>
      <c r="L12" s="23">
        <f t="shared" si="1"/>
        <v>0</v>
      </c>
    </row>
    <row r="13" spans="1:12" x14ac:dyDescent="0.25">
      <c r="A13" s="22" t="s">
        <v>164</v>
      </c>
      <c r="B13" s="22" t="s">
        <v>48</v>
      </c>
      <c r="C13" s="21">
        <v>60000</v>
      </c>
      <c r="D13" s="22" t="s">
        <v>49</v>
      </c>
      <c r="E13" s="23">
        <v>7</v>
      </c>
      <c r="F13" s="23" t="s">
        <v>21</v>
      </c>
      <c r="G13" s="22" t="s">
        <v>17</v>
      </c>
      <c r="I13" s="22" t="s">
        <v>30</v>
      </c>
      <c r="J13" s="23" t="str">
        <f t="shared" si="0"/>
        <v>5+</v>
      </c>
      <c r="K13" s="22" t="str">
        <f>VLOOKUP(I13, 'HK 18 Districts by Area Type'!A:B,2,FALSE)</f>
        <v>Commercial</v>
      </c>
      <c r="L13" s="23">
        <f t="shared" si="1"/>
        <v>0</v>
      </c>
    </row>
    <row r="14" spans="1:12" x14ac:dyDescent="0.25">
      <c r="A14" s="22" t="s">
        <v>164</v>
      </c>
      <c r="B14" s="22" t="s">
        <v>50</v>
      </c>
      <c r="C14" s="21">
        <v>37500</v>
      </c>
      <c r="D14" s="22" t="s">
        <v>51</v>
      </c>
      <c r="E14" s="23">
        <v>5</v>
      </c>
      <c r="F14" s="23" t="s">
        <v>21</v>
      </c>
      <c r="G14" s="22" t="s">
        <v>28</v>
      </c>
      <c r="I14" s="22" t="s">
        <v>79</v>
      </c>
      <c r="J14" s="23" t="str">
        <f t="shared" si="0"/>
        <v>3-5</v>
      </c>
      <c r="K14" s="22" t="str">
        <f>VLOOKUP(I14, 'HK 18 Districts by Area Type'!A:B,2,FALSE)</f>
        <v>Residential</v>
      </c>
      <c r="L14" s="23">
        <f t="shared" si="1"/>
        <v>0</v>
      </c>
    </row>
    <row r="15" spans="1:12" x14ac:dyDescent="0.25">
      <c r="A15" s="22" t="s">
        <v>164</v>
      </c>
      <c r="B15" s="22" t="s">
        <v>43</v>
      </c>
      <c r="C15" s="21">
        <v>25000</v>
      </c>
      <c r="D15" s="22" t="s">
        <v>52</v>
      </c>
      <c r="E15" s="23">
        <v>3</v>
      </c>
      <c r="F15" s="23" t="s">
        <v>21</v>
      </c>
      <c r="G15" s="22" t="s">
        <v>42</v>
      </c>
      <c r="H15" s="22" t="s">
        <v>53</v>
      </c>
      <c r="I15" s="22" t="s">
        <v>54</v>
      </c>
      <c r="J15" s="23" t="str">
        <f t="shared" si="0"/>
        <v>1-3</v>
      </c>
      <c r="K15" s="22" t="str">
        <f>VLOOKUP(I15, 'HK 18 Districts by Area Type'!A:B,2,FALSE)</f>
        <v>Residential</v>
      </c>
      <c r="L15" s="23">
        <f t="shared" si="1"/>
        <v>2</v>
      </c>
    </row>
    <row r="16" spans="1:12" x14ac:dyDescent="0.25">
      <c r="A16" s="22" t="s">
        <v>164</v>
      </c>
      <c r="B16" s="22" t="s">
        <v>55</v>
      </c>
      <c r="C16" s="21">
        <v>65000</v>
      </c>
      <c r="D16" s="22" t="s">
        <v>56</v>
      </c>
      <c r="E16" s="23">
        <v>4</v>
      </c>
      <c r="F16" s="23" t="s">
        <v>21</v>
      </c>
      <c r="G16" s="22" t="s">
        <v>36</v>
      </c>
      <c r="I16" s="22" t="s">
        <v>39</v>
      </c>
      <c r="J16" s="23" t="str">
        <f t="shared" si="0"/>
        <v>3-5</v>
      </c>
      <c r="K16" s="22" t="str">
        <f>VLOOKUP(I16, 'HK 18 Districts by Area Type'!A:B,2,FALSE)</f>
        <v>Mixed-use</v>
      </c>
      <c r="L16" s="23">
        <f t="shared" si="1"/>
        <v>0</v>
      </c>
    </row>
    <row r="17" spans="1:12" x14ac:dyDescent="0.25">
      <c r="A17" s="22" t="s">
        <v>164</v>
      </c>
      <c r="B17" s="22" t="s">
        <v>57</v>
      </c>
      <c r="C17" s="21">
        <v>27500</v>
      </c>
      <c r="D17" s="22" t="s">
        <v>58</v>
      </c>
      <c r="E17" s="23">
        <v>3</v>
      </c>
      <c r="F17" s="23" t="s">
        <v>21</v>
      </c>
      <c r="G17" s="22" t="s">
        <v>36</v>
      </c>
      <c r="I17" s="22" t="s">
        <v>59</v>
      </c>
      <c r="J17" s="23" t="str">
        <f t="shared" si="0"/>
        <v>1-3</v>
      </c>
      <c r="K17" s="22" t="str">
        <f>VLOOKUP(I17, 'HK 18 Districts by Area Type'!A:B,2,FALSE)</f>
        <v>Industrial</v>
      </c>
      <c r="L17" s="23">
        <f t="shared" si="1"/>
        <v>0</v>
      </c>
    </row>
    <row r="18" spans="1:12" x14ac:dyDescent="0.25">
      <c r="A18" s="22" t="s">
        <v>164</v>
      </c>
      <c r="B18" s="22" t="s">
        <v>60</v>
      </c>
      <c r="C18" s="21">
        <v>70000</v>
      </c>
      <c r="D18" s="22" t="s">
        <v>61</v>
      </c>
      <c r="E18" s="23">
        <v>10</v>
      </c>
      <c r="F18" s="23" t="s">
        <v>21</v>
      </c>
      <c r="G18" s="22" t="s">
        <v>62</v>
      </c>
      <c r="I18" s="22" t="s">
        <v>79</v>
      </c>
      <c r="J18" s="23" t="str">
        <f t="shared" si="0"/>
        <v>5+</v>
      </c>
      <c r="K18" s="22" t="str">
        <f>VLOOKUP(I18, 'HK 18 Districts by Area Type'!A:B,2,FALSE)</f>
        <v>Residential</v>
      </c>
      <c r="L18" s="23">
        <f t="shared" si="1"/>
        <v>0</v>
      </c>
    </row>
    <row r="19" spans="1:12" x14ac:dyDescent="0.25">
      <c r="A19" s="22" t="s">
        <v>164</v>
      </c>
      <c r="B19" s="22" t="s">
        <v>9</v>
      </c>
      <c r="C19" s="21">
        <v>45000</v>
      </c>
      <c r="D19" s="22" t="s">
        <v>63</v>
      </c>
      <c r="E19" s="23">
        <v>6</v>
      </c>
      <c r="F19" s="23" t="s">
        <v>11</v>
      </c>
      <c r="G19" s="22" t="s">
        <v>12</v>
      </c>
      <c r="H19" s="22" t="s">
        <v>64</v>
      </c>
      <c r="I19" s="22" t="s">
        <v>14</v>
      </c>
      <c r="J19" s="23" t="str">
        <f t="shared" si="0"/>
        <v>5+</v>
      </c>
      <c r="K19" s="22" t="str">
        <f>VLOOKUP(I19, 'HK 18 Districts by Area Type'!A:B,2,FALSE)</f>
        <v>Industrial</v>
      </c>
      <c r="L19" s="23">
        <f t="shared" si="1"/>
        <v>2</v>
      </c>
    </row>
    <row r="20" spans="1:12" x14ac:dyDescent="0.25">
      <c r="A20" s="22" t="s">
        <v>164</v>
      </c>
      <c r="B20" s="22" t="s">
        <v>65</v>
      </c>
      <c r="C20" s="21">
        <v>100000</v>
      </c>
      <c r="D20" s="22" t="s">
        <v>66</v>
      </c>
      <c r="E20" s="23">
        <v>8</v>
      </c>
      <c r="F20" s="23" t="s">
        <v>21</v>
      </c>
      <c r="G20" s="22" t="s">
        <v>67</v>
      </c>
      <c r="I20" s="22" t="s">
        <v>45</v>
      </c>
      <c r="J20" s="23" t="str">
        <f t="shared" si="0"/>
        <v>5+</v>
      </c>
      <c r="K20" s="22" t="str">
        <f>VLOOKUP(I20, 'HK 18 Districts by Area Type'!A:B,2,FALSE)</f>
        <v>Industrial</v>
      </c>
      <c r="L20" s="23">
        <f t="shared" si="1"/>
        <v>0</v>
      </c>
    </row>
    <row r="21" spans="1:12" x14ac:dyDescent="0.25">
      <c r="A21" s="22" t="s">
        <v>164</v>
      </c>
      <c r="B21" s="22" t="s">
        <v>68</v>
      </c>
      <c r="C21" s="21">
        <v>60000</v>
      </c>
      <c r="D21" s="22" t="s">
        <v>69</v>
      </c>
      <c r="E21" s="23">
        <v>5</v>
      </c>
      <c r="F21" s="23" t="s">
        <v>11</v>
      </c>
      <c r="G21" s="22" t="s">
        <v>70</v>
      </c>
      <c r="I21" s="22" t="s">
        <v>45</v>
      </c>
      <c r="J21" s="23" t="str">
        <f t="shared" si="0"/>
        <v>3-5</v>
      </c>
      <c r="K21" s="22" t="str">
        <f>VLOOKUP(I21, 'HK 18 Districts by Area Type'!A:B,2,FALSE)</f>
        <v>Industrial</v>
      </c>
      <c r="L21" s="23">
        <f t="shared" si="1"/>
        <v>0</v>
      </c>
    </row>
    <row r="22" spans="1:12" x14ac:dyDescent="0.25">
      <c r="A22" s="22" t="s">
        <v>71</v>
      </c>
      <c r="B22" s="22" t="s">
        <v>72</v>
      </c>
      <c r="C22" s="21">
        <v>27500</v>
      </c>
      <c r="D22" s="22" t="s">
        <v>73</v>
      </c>
      <c r="E22" s="23">
        <v>4</v>
      </c>
      <c r="F22" s="23" t="s">
        <v>21</v>
      </c>
      <c r="G22" s="22" t="s">
        <v>74</v>
      </c>
      <c r="H22" s="22" t="s">
        <v>33</v>
      </c>
      <c r="I22" s="22" t="s">
        <v>75</v>
      </c>
      <c r="J22" s="23" t="str">
        <f t="shared" si="0"/>
        <v>3-5</v>
      </c>
      <c r="K22" s="22" t="str">
        <f>VLOOKUP(I22, 'HK 18 Districts by Area Type'!A:B,2,FALSE)</f>
        <v>Industrial</v>
      </c>
      <c r="L22" s="23">
        <f t="shared" si="1"/>
        <v>1</v>
      </c>
    </row>
    <row r="23" spans="1:12" x14ac:dyDescent="0.25">
      <c r="A23" s="22" t="s">
        <v>71</v>
      </c>
      <c r="B23" s="22" t="s">
        <v>76</v>
      </c>
      <c r="C23" s="21">
        <v>27500</v>
      </c>
      <c r="D23" s="22" t="s">
        <v>77</v>
      </c>
      <c r="E23" s="23">
        <v>2</v>
      </c>
      <c r="F23" s="23" t="s">
        <v>21</v>
      </c>
      <c r="G23" s="22" t="s">
        <v>78</v>
      </c>
      <c r="I23" s="22" t="s">
        <v>79</v>
      </c>
      <c r="J23" s="23" t="str">
        <f t="shared" si="0"/>
        <v>1-3</v>
      </c>
      <c r="K23" s="22" t="str">
        <f>VLOOKUP(I23, 'HK 18 Districts by Area Type'!A:B,2,FALSE)</f>
        <v>Residential</v>
      </c>
      <c r="L23" s="23">
        <f t="shared" si="1"/>
        <v>0</v>
      </c>
    </row>
    <row r="24" spans="1:12" x14ac:dyDescent="0.25">
      <c r="A24" s="22" t="s">
        <v>71</v>
      </c>
      <c r="B24" s="22" t="s">
        <v>80</v>
      </c>
      <c r="C24" s="21">
        <v>22500</v>
      </c>
      <c r="D24" s="22" t="s">
        <v>81</v>
      </c>
      <c r="E24" s="23">
        <v>3</v>
      </c>
      <c r="F24" s="23" t="s">
        <v>21</v>
      </c>
      <c r="G24" s="22" t="s">
        <v>74</v>
      </c>
      <c r="H24" s="22" t="s">
        <v>33</v>
      </c>
      <c r="I24" s="22" t="s">
        <v>47</v>
      </c>
      <c r="J24" s="23" t="str">
        <f t="shared" si="0"/>
        <v>1-3</v>
      </c>
      <c r="K24" s="22" t="str">
        <f>VLOOKUP(I24, 'HK 18 Districts by Area Type'!A:B,2,FALSE)</f>
        <v>Commercial</v>
      </c>
      <c r="L24" s="23">
        <f t="shared" si="1"/>
        <v>1</v>
      </c>
    </row>
    <row r="25" spans="1:12" x14ac:dyDescent="0.25">
      <c r="A25" s="22" t="s">
        <v>71</v>
      </c>
      <c r="B25" s="22" t="s">
        <v>82</v>
      </c>
      <c r="C25" s="21">
        <v>35000</v>
      </c>
      <c r="D25" s="22" t="s">
        <v>83</v>
      </c>
      <c r="E25" s="23">
        <v>4</v>
      </c>
      <c r="F25" s="23" t="s">
        <v>11</v>
      </c>
      <c r="G25" s="22" t="s">
        <v>84</v>
      </c>
      <c r="H25" s="22" t="s">
        <v>33</v>
      </c>
      <c r="I25" s="22" t="s">
        <v>150</v>
      </c>
      <c r="J25" s="23" t="str">
        <f t="shared" si="0"/>
        <v>3-5</v>
      </c>
      <c r="K25" s="22" t="str">
        <f>VLOOKUP(I25, 'HK 18 Districts by Area Type'!A:B,2,FALSE)</f>
        <v>Industrial</v>
      </c>
      <c r="L25" s="23">
        <f t="shared" si="1"/>
        <v>1</v>
      </c>
    </row>
    <row r="26" spans="1:12" x14ac:dyDescent="0.25">
      <c r="A26" s="22" t="s">
        <v>71</v>
      </c>
      <c r="B26" s="22" t="s">
        <v>85</v>
      </c>
      <c r="C26" s="21">
        <v>20000</v>
      </c>
      <c r="D26" s="22" t="s">
        <v>86</v>
      </c>
      <c r="E26" s="23">
        <v>2</v>
      </c>
      <c r="F26" s="23" t="s">
        <v>11</v>
      </c>
      <c r="G26" s="22" t="s">
        <v>87</v>
      </c>
      <c r="H26" s="22" t="s">
        <v>33</v>
      </c>
      <c r="I26" s="22" t="s">
        <v>79</v>
      </c>
      <c r="J26" s="23" t="str">
        <f t="shared" si="0"/>
        <v>1-3</v>
      </c>
      <c r="K26" s="22" t="str">
        <f>VLOOKUP(I26, 'HK 18 Districts by Area Type'!A:B,2,FALSE)</f>
        <v>Residential</v>
      </c>
      <c r="L26" s="23">
        <f t="shared" si="1"/>
        <v>1</v>
      </c>
    </row>
    <row r="27" spans="1:12" x14ac:dyDescent="0.25">
      <c r="A27" s="22" t="s">
        <v>71</v>
      </c>
      <c r="B27" s="22" t="s">
        <v>88</v>
      </c>
      <c r="C27" s="21">
        <v>40000</v>
      </c>
      <c r="D27" s="22" t="s">
        <v>89</v>
      </c>
      <c r="E27" s="23">
        <v>6</v>
      </c>
      <c r="F27" s="23" t="s">
        <v>21</v>
      </c>
      <c r="G27" s="22" t="s">
        <v>88</v>
      </c>
      <c r="H27" s="22" t="s">
        <v>90</v>
      </c>
      <c r="I27" s="22" t="s">
        <v>91</v>
      </c>
      <c r="J27" s="23" t="str">
        <f t="shared" si="0"/>
        <v>5+</v>
      </c>
      <c r="K27" s="22" t="str">
        <f>VLOOKUP(I27, 'HK 18 Districts by Area Type'!A:B,2,FALSE)</f>
        <v>Residential</v>
      </c>
      <c r="L27" s="23">
        <f t="shared" si="1"/>
        <v>2</v>
      </c>
    </row>
    <row r="28" spans="1:12" x14ac:dyDescent="0.25">
      <c r="A28" s="22" t="s">
        <v>71</v>
      </c>
      <c r="B28" s="22" t="s">
        <v>92</v>
      </c>
      <c r="C28" s="21">
        <v>40000</v>
      </c>
      <c r="D28" s="22" t="s">
        <v>93</v>
      </c>
      <c r="E28" s="23">
        <v>8</v>
      </c>
      <c r="F28" s="23" t="s">
        <v>11</v>
      </c>
      <c r="G28" s="22" t="s">
        <v>84</v>
      </c>
      <c r="H28" s="22" t="s">
        <v>90</v>
      </c>
      <c r="I28" s="22" t="s">
        <v>91</v>
      </c>
      <c r="J28" s="23" t="str">
        <f t="shared" si="0"/>
        <v>5+</v>
      </c>
      <c r="K28" s="22" t="str">
        <f>VLOOKUP(I28, 'HK 18 Districts by Area Type'!A:B,2,FALSE)</f>
        <v>Residential</v>
      </c>
      <c r="L28" s="23">
        <f t="shared" si="1"/>
        <v>2</v>
      </c>
    </row>
    <row r="29" spans="1:12" x14ac:dyDescent="0.25">
      <c r="A29" s="22" t="s">
        <v>71</v>
      </c>
      <c r="B29" s="22" t="s">
        <v>94</v>
      </c>
      <c r="C29" s="21">
        <v>20000</v>
      </c>
      <c r="D29" s="22" t="s">
        <v>95</v>
      </c>
      <c r="E29" s="23">
        <v>2</v>
      </c>
      <c r="F29" s="23" t="s">
        <v>11</v>
      </c>
      <c r="G29" s="22" t="s">
        <v>87</v>
      </c>
      <c r="H29" s="22" t="s">
        <v>90</v>
      </c>
      <c r="I29" s="22" t="s">
        <v>39</v>
      </c>
      <c r="J29" s="23" t="str">
        <f t="shared" si="0"/>
        <v>1-3</v>
      </c>
      <c r="K29" s="22" t="str">
        <f>VLOOKUP(I29, 'HK 18 Districts by Area Type'!A:B,2,FALSE)</f>
        <v>Mixed-use</v>
      </c>
      <c r="L29" s="23">
        <f t="shared" si="1"/>
        <v>2</v>
      </c>
    </row>
    <row r="30" spans="1:12" x14ac:dyDescent="0.25">
      <c r="A30" s="22" t="s">
        <v>71</v>
      </c>
      <c r="B30" s="22" t="s">
        <v>96</v>
      </c>
      <c r="C30" s="21">
        <v>22500</v>
      </c>
      <c r="D30" s="22" t="s">
        <v>97</v>
      </c>
      <c r="E30" s="23">
        <v>2</v>
      </c>
      <c r="F30" s="23" t="s">
        <v>11</v>
      </c>
      <c r="G30" s="22" t="s">
        <v>98</v>
      </c>
      <c r="H30" s="22" t="s">
        <v>90</v>
      </c>
      <c r="I30" s="22" t="s">
        <v>45</v>
      </c>
      <c r="J30" s="23" t="str">
        <f t="shared" si="0"/>
        <v>1-3</v>
      </c>
      <c r="K30" s="22" t="str">
        <f>VLOOKUP(I30, 'HK 18 Districts by Area Type'!A:B,2,FALSE)</f>
        <v>Industrial</v>
      </c>
      <c r="L30" s="23">
        <f t="shared" si="1"/>
        <v>2</v>
      </c>
    </row>
    <row r="31" spans="1:12" x14ac:dyDescent="0.25">
      <c r="A31" s="22" t="s">
        <v>71</v>
      </c>
      <c r="B31" s="22" t="s">
        <v>99</v>
      </c>
      <c r="C31" s="21">
        <v>15500</v>
      </c>
      <c r="D31" s="22" t="s">
        <v>100</v>
      </c>
      <c r="E31" s="23">
        <v>0</v>
      </c>
      <c r="F31" s="23" t="s">
        <v>11</v>
      </c>
      <c r="G31" s="22" t="s">
        <v>98</v>
      </c>
      <c r="H31" s="22" t="s">
        <v>33</v>
      </c>
      <c r="I31" s="22" t="s">
        <v>79</v>
      </c>
      <c r="J31" s="23" t="str">
        <f t="shared" si="0"/>
        <v>0-1</v>
      </c>
      <c r="K31" s="22" t="str">
        <f>VLOOKUP(I31, 'HK 18 Districts by Area Type'!A:B,2,FALSE)</f>
        <v>Residential</v>
      </c>
      <c r="L31" s="23">
        <f t="shared" si="1"/>
        <v>1</v>
      </c>
    </row>
    <row r="32" spans="1:12" x14ac:dyDescent="0.25">
      <c r="A32" s="22" t="s">
        <v>71</v>
      </c>
      <c r="B32" s="22" t="s">
        <v>101</v>
      </c>
      <c r="C32" s="21">
        <v>32500</v>
      </c>
      <c r="D32" s="22" t="s">
        <v>102</v>
      </c>
      <c r="E32" s="23">
        <v>3</v>
      </c>
      <c r="F32" s="23" t="s">
        <v>21</v>
      </c>
      <c r="G32" s="22" t="s">
        <v>103</v>
      </c>
      <c r="H32" s="22" t="s">
        <v>33</v>
      </c>
      <c r="I32" s="22" t="s">
        <v>150</v>
      </c>
      <c r="J32" s="23" t="str">
        <f t="shared" si="0"/>
        <v>1-3</v>
      </c>
      <c r="K32" s="22" t="str">
        <f>VLOOKUP(I32, 'HK 18 Districts by Area Type'!A:B,2,FALSE)</f>
        <v>Industrial</v>
      </c>
      <c r="L32" s="23">
        <f t="shared" si="1"/>
        <v>1</v>
      </c>
    </row>
    <row r="33" spans="1:12" x14ac:dyDescent="0.25">
      <c r="A33" s="22" t="s">
        <v>71</v>
      </c>
      <c r="B33" s="22" t="s">
        <v>104</v>
      </c>
      <c r="C33" s="21">
        <v>72500</v>
      </c>
      <c r="D33" s="22" t="s">
        <v>105</v>
      </c>
      <c r="E33" s="23">
        <v>10</v>
      </c>
      <c r="F33" s="23" t="s">
        <v>21</v>
      </c>
      <c r="G33" s="22" t="s">
        <v>106</v>
      </c>
      <c r="H33" s="22" t="s">
        <v>90</v>
      </c>
      <c r="I33" s="22" t="s">
        <v>45</v>
      </c>
      <c r="J33" s="23" t="str">
        <f t="shared" si="0"/>
        <v>5+</v>
      </c>
      <c r="K33" s="22" t="str">
        <f>VLOOKUP(I33, 'HK 18 Districts by Area Type'!A:B,2,FALSE)</f>
        <v>Industrial</v>
      </c>
      <c r="L33" s="23">
        <f t="shared" si="1"/>
        <v>2</v>
      </c>
    </row>
    <row r="34" spans="1:12" x14ac:dyDescent="0.25">
      <c r="A34" s="22" t="s">
        <v>71</v>
      </c>
      <c r="B34" s="22" t="s">
        <v>107</v>
      </c>
      <c r="C34" s="21">
        <v>70000</v>
      </c>
      <c r="D34" s="22" t="s">
        <v>108</v>
      </c>
      <c r="E34" s="23">
        <v>10</v>
      </c>
      <c r="F34" s="23" t="s">
        <v>11</v>
      </c>
      <c r="G34" s="22" t="s">
        <v>106</v>
      </c>
      <c r="H34" s="22" t="s">
        <v>90</v>
      </c>
      <c r="I34" s="22" t="s">
        <v>18</v>
      </c>
      <c r="J34" s="23" t="str">
        <f t="shared" si="0"/>
        <v>5+</v>
      </c>
      <c r="K34" s="22" t="str">
        <f>VLOOKUP(I34, 'HK 18 Districts by Area Type'!A:B,2,FALSE)</f>
        <v>Commercial</v>
      </c>
      <c r="L34" s="23">
        <f t="shared" si="1"/>
        <v>2</v>
      </c>
    </row>
    <row r="35" spans="1:12" x14ac:dyDescent="0.25">
      <c r="A35" s="22" t="s">
        <v>71</v>
      </c>
      <c r="B35" s="22" t="s">
        <v>109</v>
      </c>
      <c r="C35" s="21">
        <v>42000</v>
      </c>
      <c r="D35" s="22" t="s">
        <v>110</v>
      </c>
      <c r="E35" s="23">
        <v>2</v>
      </c>
      <c r="F35" s="23" t="s">
        <v>11</v>
      </c>
      <c r="G35" s="22" t="s">
        <v>78</v>
      </c>
      <c r="H35" s="22" t="s">
        <v>90</v>
      </c>
      <c r="I35" s="22" t="s">
        <v>30</v>
      </c>
      <c r="J35" s="23" t="str">
        <f t="shared" si="0"/>
        <v>1-3</v>
      </c>
      <c r="K35" s="22" t="str">
        <f>VLOOKUP(I35, 'HK 18 Districts by Area Type'!A:B,2,FALSE)</f>
        <v>Commercial</v>
      </c>
      <c r="L35" s="23">
        <f t="shared" si="1"/>
        <v>2</v>
      </c>
    </row>
    <row r="36" spans="1:12" x14ac:dyDescent="0.25">
      <c r="A36" s="22" t="s">
        <v>71</v>
      </c>
      <c r="B36" s="22" t="s">
        <v>111</v>
      </c>
      <c r="C36" s="21">
        <v>16500</v>
      </c>
      <c r="D36" s="22" t="s">
        <v>112</v>
      </c>
      <c r="E36" s="23">
        <v>1</v>
      </c>
      <c r="F36" s="23" t="s">
        <v>11</v>
      </c>
      <c r="G36" s="22" t="s">
        <v>87</v>
      </c>
      <c r="I36" s="22" t="s">
        <v>91</v>
      </c>
      <c r="J36" s="23" t="str">
        <f t="shared" si="0"/>
        <v>0-1</v>
      </c>
      <c r="K36" s="22" t="str">
        <f>VLOOKUP(I36, 'HK 18 Districts by Area Type'!A:B,2,FALSE)</f>
        <v>Residential</v>
      </c>
      <c r="L36" s="23">
        <f t="shared" si="1"/>
        <v>0</v>
      </c>
    </row>
    <row r="37" spans="1:12" x14ac:dyDescent="0.25">
      <c r="A37" s="22" t="s">
        <v>71</v>
      </c>
      <c r="B37" s="22" t="s">
        <v>113</v>
      </c>
      <c r="C37" s="21">
        <v>77500</v>
      </c>
      <c r="D37" s="22" t="s">
        <v>114</v>
      </c>
      <c r="E37" s="23">
        <v>10</v>
      </c>
      <c r="F37" s="23" t="s">
        <v>21</v>
      </c>
      <c r="G37" s="22" t="s">
        <v>115</v>
      </c>
      <c r="H37" s="22" t="s">
        <v>90</v>
      </c>
      <c r="I37" s="22" t="s">
        <v>45</v>
      </c>
      <c r="J37" s="23" t="str">
        <f t="shared" si="0"/>
        <v>5+</v>
      </c>
      <c r="K37" s="22" t="str">
        <f>VLOOKUP(I37, 'HK 18 Districts by Area Type'!A:B,2,FALSE)</f>
        <v>Industrial</v>
      </c>
      <c r="L37" s="23">
        <f t="shared" si="1"/>
        <v>2</v>
      </c>
    </row>
    <row r="38" spans="1:12" x14ac:dyDescent="0.25">
      <c r="A38" s="22" t="s">
        <v>71</v>
      </c>
      <c r="B38" s="22" t="s">
        <v>116</v>
      </c>
      <c r="C38" s="21">
        <v>20000</v>
      </c>
      <c r="D38" s="22" t="s">
        <v>87</v>
      </c>
      <c r="E38" s="23">
        <v>2</v>
      </c>
      <c r="F38" s="23" t="s">
        <v>11</v>
      </c>
      <c r="G38" s="22" t="s">
        <v>87</v>
      </c>
      <c r="H38" s="22" t="s">
        <v>33</v>
      </c>
      <c r="I38" s="22" t="s">
        <v>30</v>
      </c>
      <c r="J38" s="23" t="str">
        <f t="shared" si="0"/>
        <v>1-3</v>
      </c>
      <c r="K38" s="22" t="str">
        <f>VLOOKUP(I38, 'HK 18 Districts by Area Type'!A:B,2,FALSE)</f>
        <v>Commercial</v>
      </c>
      <c r="L38" s="23">
        <f t="shared" si="1"/>
        <v>1</v>
      </c>
    </row>
    <row r="39" spans="1:12" x14ac:dyDescent="0.25">
      <c r="A39" s="22" t="s">
        <v>71</v>
      </c>
      <c r="B39" s="22" t="s">
        <v>117</v>
      </c>
      <c r="C39" s="21">
        <v>40000</v>
      </c>
      <c r="D39" s="22" t="s">
        <v>118</v>
      </c>
      <c r="E39" s="23">
        <v>3</v>
      </c>
      <c r="F39" s="23" t="s">
        <v>11</v>
      </c>
      <c r="G39" s="22" t="s">
        <v>78</v>
      </c>
      <c r="H39" s="22" t="s">
        <v>119</v>
      </c>
      <c r="I39" s="22" t="s">
        <v>45</v>
      </c>
      <c r="J39" s="23" t="str">
        <f t="shared" si="0"/>
        <v>1-3</v>
      </c>
      <c r="K39" s="22" t="str">
        <f>VLOOKUP(I39, 'HK 18 Districts by Area Type'!A:B,2,FALSE)</f>
        <v>Industrial</v>
      </c>
      <c r="L39" s="23">
        <f t="shared" si="1"/>
        <v>2</v>
      </c>
    </row>
    <row r="40" spans="1:12" x14ac:dyDescent="0.25">
      <c r="A40" s="22" t="s">
        <v>71</v>
      </c>
      <c r="B40" s="22" t="s">
        <v>120</v>
      </c>
      <c r="C40" s="21">
        <v>30000</v>
      </c>
      <c r="D40" s="22" t="s">
        <v>121</v>
      </c>
      <c r="E40" s="23">
        <v>3</v>
      </c>
      <c r="F40" s="23" t="s">
        <v>21</v>
      </c>
      <c r="G40" s="22" t="s">
        <v>88</v>
      </c>
      <c r="H40" s="22" t="s">
        <v>90</v>
      </c>
      <c r="I40" s="22" t="s">
        <v>45</v>
      </c>
      <c r="J40" s="23" t="str">
        <f t="shared" si="0"/>
        <v>1-3</v>
      </c>
      <c r="K40" s="22" t="str">
        <f>VLOOKUP(I40, 'HK 18 Districts by Area Type'!A:B,2,FALSE)</f>
        <v>Industrial</v>
      </c>
      <c r="L40" s="23">
        <f t="shared" si="1"/>
        <v>2</v>
      </c>
    </row>
    <row r="41" spans="1:12" x14ac:dyDescent="0.25">
      <c r="A41" s="22" t="s">
        <v>71</v>
      </c>
      <c r="B41" s="22" t="s">
        <v>122</v>
      </c>
      <c r="C41" s="21">
        <v>19000</v>
      </c>
      <c r="D41" s="22" t="s">
        <v>123</v>
      </c>
      <c r="E41" s="23">
        <v>1</v>
      </c>
      <c r="F41" s="23" t="s">
        <v>11</v>
      </c>
      <c r="G41" s="22" t="s">
        <v>87</v>
      </c>
      <c r="H41" s="22" t="s">
        <v>90</v>
      </c>
      <c r="I41" s="22" t="s">
        <v>39</v>
      </c>
      <c r="J41" s="23" t="str">
        <f t="shared" si="0"/>
        <v>0-1</v>
      </c>
      <c r="K41" s="22" t="str">
        <f>VLOOKUP(I41, 'HK 18 Districts by Area Type'!A:B,2,FALSE)</f>
        <v>Mixed-use</v>
      </c>
      <c r="L41" s="23">
        <f t="shared" si="1"/>
        <v>2</v>
      </c>
    </row>
    <row r="42" spans="1:12" x14ac:dyDescent="0.25">
      <c r="A42" s="22" t="s">
        <v>124</v>
      </c>
      <c r="B42" s="22" t="s">
        <v>116</v>
      </c>
      <c r="C42" s="21">
        <v>35000</v>
      </c>
      <c r="D42" s="22" t="s">
        <v>125</v>
      </c>
      <c r="E42" s="23">
        <v>2</v>
      </c>
      <c r="F42" s="23" t="s">
        <v>11</v>
      </c>
      <c r="G42" s="22" t="s">
        <v>87</v>
      </c>
      <c r="I42" s="22" t="s">
        <v>47</v>
      </c>
      <c r="J42" s="23" t="str">
        <f t="shared" si="0"/>
        <v>1-3</v>
      </c>
      <c r="K42" s="22" t="str">
        <f>VLOOKUP(I42, 'HK 18 Districts by Area Type'!A:B,2,FALSE)</f>
        <v>Commercial</v>
      </c>
      <c r="L42" s="23">
        <f t="shared" si="1"/>
        <v>0</v>
      </c>
    </row>
    <row r="43" spans="1:12" x14ac:dyDescent="0.25">
      <c r="A43" s="22" t="s">
        <v>124</v>
      </c>
      <c r="B43" s="22" t="s">
        <v>126</v>
      </c>
      <c r="C43" s="21">
        <v>27500</v>
      </c>
      <c r="D43" s="22" t="s">
        <v>127</v>
      </c>
      <c r="E43" s="23">
        <v>1</v>
      </c>
      <c r="F43" s="23" t="s">
        <v>11</v>
      </c>
      <c r="G43" s="22" t="s">
        <v>78</v>
      </c>
      <c r="I43" s="22" t="s">
        <v>79</v>
      </c>
      <c r="J43" s="23" t="str">
        <f t="shared" si="0"/>
        <v>0-1</v>
      </c>
      <c r="K43" s="22" t="str">
        <f>VLOOKUP(I43, 'HK 18 Districts by Area Type'!A:B,2,FALSE)</f>
        <v>Residential</v>
      </c>
      <c r="L43" s="23">
        <f t="shared" si="1"/>
        <v>0</v>
      </c>
    </row>
    <row r="44" spans="1:12" x14ac:dyDescent="0.25">
      <c r="A44" s="22" t="s">
        <v>124</v>
      </c>
      <c r="B44" s="22" t="s">
        <v>116</v>
      </c>
      <c r="C44" s="21">
        <v>27500</v>
      </c>
      <c r="D44" s="22" t="s">
        <v>128</v>
      </c>
      <c r="E44" s="23">
        <v>1</v>
      </c>
      <c r="F44" s="23" t="s">
        <v>11</v>
      </c>
      <c r="G44" s="22" t="s">
        <v>28</v>
      </c>
      <c r="I44" s="22" t="s">
        <v>79</v>
      </c>
      <c r="J44" s="23" t="str">
        <f t="shared" si="0"/>
        <v>0-1</v>
      </c>
      <c r="K44" s="22" t="str">
        <f>VLOOKUP(I44, 'HK 18 Districts by Area Type'!A:B,2,FALSE)</f>
        <v>Residential</v>
      </c>
      <c r="L44" s="23">
        <f t="shared" si="1"/>
        <v>0</v>
      </c>
    </row>
    <row r="45" spans="1:12" x14ac:dyDescent="0.25">
      <c r="A45" s="22" t="s">
        <v>124</v>
      </c>
      <c r="B45" s="22" t="s">
        <v>129</v>
      </c>
      <c r="C45" s="21">
        <v>18000</v>
      </c>
      <c r="D45" s="22" t="s">
        <v>130</v>
      </c>
      <c r="E45" s="23">
        <v>2</v>
      </c>
      <c r="F45" s="23" t="s">
        <v>11</v>
      </c>
      <c r="G45" s="22" t="s">
        <v>87</v>
      </c>
      <c r="H45" s="22" t="s">
        <v>33</v>
      </c>
      <c r="I45" s="22" t="s">
        <v>79</v>
      </c>
      <c r="J45" s="23" t="str">
        <f t="shared" si="0"/>
        <v>1-3</v>
      </c>
      <c r="K45" s="22" t="str">
        <f>VLOOKUP(I45, 'HK 18 Districts by Area Type'!A:B,2,FALSE)</f>
        <v>Residential</v>
      </c>
      <c r="L45" s="23">
        <f t="shared" si="1"/>
        <v>1</v>
      </c>
    </row>
    <row r="46" spans="1:12" x14ac:dyDescent="0.25">
      <c r="A46" s="22" t="s">
        <v>124</v>
      </c>
      <c r="B46" s="22" t="s">
        <v>131</v>
      </c>
      <c r="C46" s="21">
        <v>20000</v>
      </c>
      <c r="D46" s="22" t="s">
        <v>132</v>
      </c>
      <c r="E46" s="23">
        <v>1</v>
      </c>
      <c r="F46" s="23" t="s">
        <v>11</v>
      </c>
      <c r="G46" s="22" t="s">
        <v>28</v>
      </c>
      <c r="I46" s="22" t="s">
        <v>150</v>
      </c>
      <c r="J46" s="23" t="str">
        <f t="shared" si="0"/>
        <v>0-1</v>
      </c>
      <c r="K46" s="22" t="str">
        <f>VLOOKUP(I46, 'HK 18 Districts by Area Type'!A:B,2,FALSE)</f>
        <v>Industrial</v>
      </c>
      <c r="L46" s="23">
        <f t="shared" si="1"/>
        <v>0</v>
      </c>
    </row>
    <row r="47" spans="1:12" x14ac:dyDescent="0.25">
      <c r="A47" s="22" t="s">
        <v>124</v>
      </c>
      <c r="B47" s="22" t="s">
        <v>133</v>
      </c>
      <c r="C47" s="21">
        <v>24000</v>
      </c>
      <c r="D47" s="22" t="s">
        <v>134</v>
      </c>
      <c r="E47" s="23">
        <v>2</v>
      </c>
      <c r="F47" s="23" t="s">
        <v>11</v>
      </c>
      <c r="G47" s="22" t="s">
        <v>78</v>
      </c>
      <c r="H47" s="22" t="s">
        <v>90</v>
      </c>
      <c r="I47" s="22" t="s">
        <v>79</v>
      </c>
      <c r="J47" s="23" t="str">
        <f t="shared" si="0"/>
        <v>1-3</v>
      </c>
      <c r="K47" s="22" t="str">
        <f>VLOOKUP(I47, 'HK 18 Districts by Area Type'!A:B,2,FALSE)</f>
        <v>Residential</v>
      </c>
      <c r="L47" s="23">
        <f t="shared" si="1"/>
        <v>2</v>
      </c>
    </row>
    <row r="48" spans="1:12" x14ac:dyDescent="0.25">
      <c r="A48" s="22" t="s">
        <v>124</v>
      </c>
      <c r="B48" s="22" t="s">
        <v>135</v>
      </c>
      <c r="C48" s="21">
        <v>26000</v>
      </c>
      <c r="D48" s="22" t="s">
        <v>136</v>
      </c>
      <c r="E48" s="23">
        <v>1</v>
      </c>
      <c r="F48" s="23" t="s">
        <v>11</v>
      </c>
      <c r="G48" s="22" t="s">
        <v>87</v>
      </c>
      <c r="H48" s="22" t="s">
        <v>33</v>
      </c>
      <c r="I48" s="22" t="s">
        <v>79</v>
      </c>
      <c r="J48" s="23" t="str">
        <f t="shared" si="0"/>
        <v>0-1</v>
      </c>
      <c r="K48" s="22" t="str">
        <f>VLOOKUP(I48, 'HK 18 Districts by Area Type'!A:B,2,FALSE)</f>
        <v>Residential</v>
      </c>
      <c r="L48" s="23">
        <f t="shared" si="1"/>
        <v>1</v>
      </c>
    </row>
    <row r="49" spans="1:12" x14ac:dyDescent="0.25">
      <c r="A49" s="22" t="s">
        <v>124</v>
      </c>
      <c r="B49" s="22" t="s">
        <v>137</v>
      </c>
      <c r="C49" s="21">
        <v>20000</v>
      </c>
      <c r="D49" s="22" t="s">
        <v>130</v>
      </c>
      <c r="E49" s="23">
        <v>2</v>
      </c>
      <c r="F49" s="23" t="s">
        <v>11</v>
      </c>
      <c r="G49" s="22" t="s">
        <v>28</v>
      </c>
      <c r="H49" s="22" t="s">
        <v>33</v>
      </c>
      <c r="I49" s="22" t="s">
        <v>138</v>
      </c>
      <c r="J49" s="23" t="str">
        <f t="shared" si="0"/>
        <v>1-3</v>
      </c>
      <c r="K49" s="22" t="str">
        <f>VLOOKUP(I49, 'HK 18 Districts by Area Type'!A:B,2,FALSE)</f>
        <v>Residential</v>
      </c>
      <c r="L49" s="23">
        <f t="shared" si="1"/>
        <v>1</v>
      </c>
    </row>
    <row r="50" spans="1:12" x14ac:dyDescent="0.25">
      <c r="A50" s="22" t="s">
        <v>124</v>
      </c>
      <c r="B50" s="22" t="s">
        <v>139</v>
      </c>
      <c r="C50" s="21">
        <v>19535</v>
      </c>
      <c r="D50" s="22" t="s">
        <v>140</v>
      </c>
      <c r="E50" s="23">
        <v>3</v>
      </c>
      <c r="F50" s="23" t="s">
        <v>11</v>
      </c>
      <c r="G50" s="22" t="s">
        <v>28</v>
      </c>
      <c r="I50" s="22" t="s">
        <v>39</v>
      </c>
      <c r="J50" s="23" t="str">
        <f t="shared" si="0"/>
        <v>1-3</v>
      </c>
      <c r="K50" s="22" t="str">
        <f>VLOOKUP(I50, 'HK 18 Districts by Area Type'!A:B,2,FALSE)</f>
        <v>Mixed-use</v>
      </c>
      <c r="L50" s="23">
        <f t="shared" si="1"/>
        <v>0</v>
      </c>
    </row>
    <row r="51" spans="1:12" x14ac:dyDescent="0.25">
      <c r="A51" s="22" t="s">
        <v>124</v>
      </c>
      <c r="B51" s="22" t="s">
        <v>141</v>
      </c>
      <c r="C51" s="21">
        <v>21500</v>
      </c>
      <c r="D51" s="22" t="s">
        <v>142</v>
      </c>
      <c r="E51" s="23">
        <v>0</v>
      </c>
      <c r="F51" s="23" t="s">
        <v>11</v>
      </c>
      <c r="G51" s="22" t="s">
        <v>78</v>
      </c>
      <c r="H51" s="22" t="s">
        <v>33</v>
      </c>
      <c r="I51" s="22" t="s">
        <v>59</v>
      </c>
      <c r="J51" s="23" t="str">
        <f t="shared" si="0"/>
        <v>0-1</v>
      </c>
      <c r="K51" s="22" t="str">
        <f>VLOOKUP(I51, 'HK 18 Districts by Area Type'!A:B,2,FALSE)</f>
        <v>Industrial</v>
      </c>
      <c r="L51" s="23">
        <f t="shared" si="1"/>
        <v>1</v>
      </c>
    </row>
    <row r="52" spans="1:12" x14ac:dyDescent="0.25">
      <c r="A52" s="22" t="s">
        <v>124</v>
      </c>
      <c r="B52" s="22" t="s">
        <v>84</v>
      </c>
      <c r="C52" s="21">
        <v>25500</v>
      </c>
      <c r="D52" s="22" t="s">
        <v>143</v>
      </c>
      <c r="E52" s="23">
        <v>8</v>
      </c>
      <c r="F52" s="23" t="s">
        <v>11</v>
      </c>
      <c r="G52" s="22" t="s">
        <v>78</v>
      </c>
      <c r="H52" s="22" t="s">
        <v>33</v>
      </c>
      <c r="I52" s="22" t="s">
        <v>144</v>
      </c>
      <c r="J52" s="23" t="str">
        <f t="shared" si="0"/>
        <v>5+</v>
      </c>
      <c r="K52" s="22" t="str">
        <f>VLOOKUP(I52, 'HK 18 Districts by Area Type'!A:B,2,FALSE)</f>
        <v>Mixed-use</v>
      </c>
      <c r="L52" s="23">
        <f t="shared" si="1"/>
        <v>1</v>
      </c>
    </row>
    <row r="53" spans="1:12" x14ac:dyDescent="0.25">
      <c r="A53" s="22" t="s">
        <v>124</v>
      </c>
      <c r="B53" s="22" t="s">
        <v>145</v>
      </c>
      <c r="C53" s="21">
        <v>15930</v>
      </c>
      <c r="D53" s="22" t="s">
        <v>146</v>
      </c>
      <c r="E53" s="23">
        <v>1</v>
      </c>
      <c r="F53" s="23" t="s">
        <v>11</v>
      </c>
      <c r="G53" s="22" t="s">
        <v>28</v>
      </c>
      <c r="I53" s="22" t="s">
        <v>22</v>
      </c>
      <c r="J53" s="23" t="str">
        <f t="shared" si="0"/>
        <v>0-1</v>
      </c>
      <c r="K53" s="22" t="str">
        <f>VLOOKUP(I53, 'HK 18 Districts by Area Type'!A:B,2,FALSE)</f>
        <v>Residential</v>
      </c>
      <c r="L53" s="23">
        <f t="shared" si="1"/>
        <v>0</v>
      </c>
    </row>
    <row r="54" spans="1:12" x14ac:dyDescent="0.25">
      <c r="A54" s="22" t="s">
        <v>124</v>
      </c>
      <c r="B54" s="22" t="s">
        <v>147</v>
      </c>
      <c r="C54" s="21">
        <v>22500</v>
      </c>
      <c r="D54" s="22" t="s">
        <v>148</v>
      </c>
      <c r="E54" s="23">
        <v>2</v>
      </c>
      <c r="F54" s="23" t="s">
        <v>11</v>
      </c>
      <c r="G54" s="22" t="s">
        <v>28</v>
      </c>
      <c r="I54" s="22" t="s">
        <v>45</v>
      </c>
      <c r="J54" s="23" t="str">
        <f t="shared" si="0"/>
        <v>1-3</v>
      </c>
      <c r="K54" s="22" t="str">
        <f>VLOOKUP(I54, 'HK 18 Districts by Area Type'!A:B,2,FALSE)</f>
        <v>Industrial</v>
      </c>
      <c r="L54" s="23">
        <f t="shared" si="1"/>
        <v>0</v>
      </c>
    </row>
    <row r="55" spans="1:12" x14ac:dyDescent="0.25">
      <c r="A55" s="22" t="s">
        <v>124</v>
      </c>
      <c r="B55" s="22" t="s">
        <v>149</v>
      </c>
      <c r="C55" s="21">
        <v>15500</v>
      </c>
      <c r="D55" s="22" t="s">
        <v>130</v>
      </c>
      <c r="E55" s="23">
        <v>2</v>
      </c>
      <c r="F55" s="23" t="s">
        <v>11</v>
      </c>
      <c r="G55" s="22" t="s">
        <v>28</v>
      </c>
      <c r="I55" s="22" t="s">
        <v>150</v>
      </c>
      <c r="J55" s="23" t="str">
        <f t="shared" si="0"/>
        <v>1-3</v>
      </c>
      <c r="K55" s="22" t="str">
        <f>VLOOKUP(I55, 'HK 18 Districts by Area Type'!A:B,2,FALSE)</f>
        <v>Industrial</v>
      </c>
      <c r="L55" s="23">
        <f t="shared" si="1"/>
        <v>0</v>
      </c>
    </row>
    <row r="56" spans="1:12" x14ac:dyDescent="0.25">
      <c r="A56" s="22" t="s">
        <v>124</v>
      </c>
      <c r="B56" s="22" t="s">
        <v>151</v>
      </c>
      <c r="C56" s="21">
        <v>20000</v>
      </c>
      <c r="D56" s="22" t="s">
        <v>152</v>
      </c>
      <c r="E56" s="23">
        <v>1</v>
      </c>
      <c r="F56" s="23" t="s">
        <v>11</v>
      </c>
      <c r="G56" s="22" t="s">
        <v>78</v>
      </c>
      <c r="H56" s="22" t="s">
        <v>33</v>
      </c>
      <c r="I56" s="22" t="s">
        <v>45</v>
      </c>
      <c r="J56" s="23" t="str">
        <f t="shared" si="0"/>
        <v>0-1</v>
      </c>
      <c r="K56" s="22" t="str">
        <f>VLOOKUP(I56, 'HK 18 Districts by Area Type'!A:B,2,FALSE)</f>
        <v>Industrial</v>
      </c>
      <c r="L56" s="23">
        <f t="shared" si="1"/>
        <v>1</v>
      </c>
    </row>
    <row r="57" spans="1:12" x14ac:dyDescent="0.25">
      <c r="A57" s="22" t="s">
        <v>124</v>
      </c>
      <c r="B57" s="22" t="s">
        <v>43</v>
      </c>
      <c r="C57" s="21">
        <v>20000</v>
      </c>
      <c r="D57" s="22" t="s">
        <v>153</v>
      </c>
      <c r="E57" s="23">
        <v>1</v>
      </c>
      <c r="F57" s="23" t="s">
        <v>11</v>
      </c>
      <c r="G57" s="22" t="s">
        <v>78</v>
      </c>
      <c r="H57" s="22" t="s">
        <v>33</v>
      </c>
      <c r="I57" s="22" t="s">
        <v>79</v>
      </c>
      <c r="J57" s="23" t="str">
        <f t="shared" si="0"/>
        <v>0-1</v>
      </c>
      <c r="K57" s="22" t="str">
        <f>VLOOKUP(I57, 'HK 18 Districts by Area Type'!A:B,2,FALSE)</f>
        <v>Residential</v>
      </c>
      <c r="L57" s="23">
        <f t="shared" si="1"/>
        <v>1</v>
      </c>
    </row>
    <row r="58" spans="1:12" x14ac:dyDescent="0.25">
      <c r="A58" s="22" t="s">
        <v>124</v>
      </c>
      <c r="B58" s="22" t="s">
        <v>154</v>
      </c>
      <c r="C58" s="21">
        <v>60000</v>
      </c>
      <c r="D58" s="22" t="s">
        <v>155</v>
      </c>
      <c r="E58" s="23">
        <v>5</v>
      </c>
      <c r="F58" s="23" t="s">
        <v>11</v>
      </c>
      <c r="G58" s="22" t="s">
        <v>78</v>
      </c>
      <c r="H58" s="22" t="s">
        <v>33</v>
      </c>
      <c r="I58" s="22" t="s">
        <v>150</v>
      </c>
      <c r="J58" s="23" t="str">
        <f t="shared" si="0"/>
        <v>3-5</v>
      </c>
      <c r="K58" s="22" t="str">
        <f>VLOOKUP(I58, 'HK 18 Districts by Area Type'!A:B,2,FALSE)</f>
        <v>Industrial</v>
      </c>
      <c r="L58" s="23">
        <f t="shared" si="1"/>
        <v>1</v>
      </c>
    </row>
    <row r="59" spans="1:12" x14ac:dyDescent="0.25">
      <c r="A59" s="22" t="s">
        <v>124</v>
      </c>
      <c r="B59" s="22" t="s">
        <v>109</v>
      </c>
      <c r="C59" s="21">
        <v>25000</v>
      </c>
      <c r="D59" s="22" t="s">
        <v>156</v>
      </c>
      <c r="E59" s="23">
        <v>2</v>
      </c>
      <c r="F59" s="23" t="s">
        <v>21</v>
      </c>
      <c r="G59" s="22" t="s">
        <v>78</v>
      </c>
      <c r="H59" s="22" t="s">
        <v>33</v>
      </c>
      <c r="I59" s="22" t="s">
        <v>150</v>
      </c>
      <c r="J59" s="23" t="str">
        <f t="shared" si="0"/>
        <v>1-3</v>
      </c>
      <c r="K59" s="22" t="str">
        <f>VLOOKUP(I59, 'HK 18 Districts by Area Type'!A:B,2,FALSE)</f>
        <v>Industrial</v>
      </c>
      <c r="L59" s="23">
        <f t="shared" si="1"/>
        <v>1</v>
      </c>
    </row>
    <row r="60" spans="1:12" x14ac:dyDescent="0.25">
      <c r="A60" s="22" t="s">
        <v>124</v>
      </c>
      <c r="B60" s="22" t="s">
        <v>157</v>
      </c>
      <c r="C60" s="21">
        <v>25000</v>
      </c>
      <c r="D60" s="22" t="s">
        <v>146</v>
      </c>
      <c r="E60" s="23">
        <v>1</v>
      </c>
      <c r="F60" s="23" t="s">
        <v>21</v>
      </c>
      <c r="G60" s="22" t="s">
        <v>78</v>
      </c>
      <c r="H60" s="22" t="s">
        <v>33</v>
      </c>
      <c r="I60" s="22" t="s">
        <v>14</v>
      </c>
      <c r="J60" s="23" t="str">
        <f t="shared" si="0"/>
        <v>0-1</v>
      </c>
      <c r="K60" s="22" t="str">
        <f>VLOOKUP(I60, 'HK 18 Districts by Area Type'!A:B,2,FALSE)</f>
        <v>Industrial</v>
      </c>
      <c r="L60" s="23">
        <f t="shared" si="1"/>
        <v>1</v>
      </c>
    </row>
    <row r="61" spans="1:12" x14ac:dyDescent="0.25">
      <c r="A61" s="22" t="s">
        <v>124</v>
      </c>
      <c r="B61" s="22" t="s">
        <v>158</v>
      </c>
      <c r="C61" s="21">
        <v>35000</v>
      </c>
      <c r="D61" s="22" t="s">
        <v>159</v>
      </c>
      <c r="E61" s="23">
        <v>4</v>
      </c>
      <c r="F61" s="23" t="s">
        <v>21</v>
      </c>
      <c r="G61" s="22" t="s">
        <v>78</v>
      </c>
      <c r="I61" s="22" t="s">
        <v>47</v>
      </c>
      <c r="J61" s="23" t="str">
        <f t="shared" si="0"/>
        <v>3-5</v>
      </c>
      <c r="K61" s="22" t="str">
        <f>VLOOKUP(I61, 'HK 18 Districts by Area Type'!A:B,2,FALSE)</f>
        <v>Commercial</v>
      </c>
      <c r="L61" s="23">
        <f t="shared" si="1"/>
        <v>0</v>
      </c>
    </row>
  </sheetData>
  <autoFilter ref="A1:K61" xr:uid="{E4137124-F3D7-464A-8968-73DE16010BD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82F13-F576-427D-9B2A-B84DBA518E3C}">
  <dimension ref="A1:E19"/>
  <sheetViews>
    <sheetView workbookViewId="0">
      <selection activeCell="C23" sqref="C23"/>
    </sheetView>
  </sheetViews>
  <sheetFormatPr defaultRowHeight="15" x14ac:dyDescent="0.25"/>
  <cols>
    <col min="1" max="1" width="20.42578125" bestFit="1" customWidth="1"/>
    <col min="2" max="2" width="22.85546875" bestFit="1" customWidth="1"/>
    <col min="3" max="3" width="40.5703125" bestFit="1" customWidth="1"/>
  </cols>
  <sheetData>
    <row r="1" spans="1:5" ht="15.75" thickBot="1" x14ac:dyDescent="0.3">
      <c r="A1" s="16" t="s">
        <v>201</v>
      </c>
      <c r="B1" s="16" t="s">
        <v>171</v>
      </c>
      <c r="C1" s="16" t="s">
        <v>172</v>
      </c>
      <c r="D1" s="16"/>
      <c r="E1" s="16"/>
    </row>
    <row r="2" spans="1:5" ht="17.25" thickBot="1" x14ac:dyDescent="0.3">
      <c r="A2" s="15" t="s">
        <v>47</v>
      </c>
      <c r="B2" s="15" t="s">
        <v>195</v>
      </c>
      <c r="C2" s="16" t="s">
        <v>173</v>
      </c>
      <c r="D2" s="16"/>
      <c r="E2" s="16"/>
    </row>
    <row r="3" spans="1:5" ht="17.25" thickBot="1" x14ac:dyDescent="0.3">
      <c r="A3" s="15" t="s">
        <v>18</v>
      </c>
      <c r="B3" s="15" t="s">
        <v>195</v>
      </c>
      <c r="C3" s="16" t="s">
        <v>174</v>
      </c>
      <c r="D3" s="16"/>
      <c r="E3" s="16"/>
    </row>
    <row r="4" spans="1:5" ht="17.25" thickBot="1" x14ac:dyDescent="0.3">
      <c r="A4" s="15" t="s">
        <v>144</v>
      </c>
      <c r="B4" s="15" t="s">
        <v>196</v>
      </c>
      <c r="C4" s="16" t="s">
        <v>175</v>
      </c>
      <c r="D4" s="16"/>
      <c r="E4" s="16"/>
    </row>
    <row r="5" spans="1:5" ht="17.25" thickBot="1" x14ac:dyDescent="0.3">
      <c r="A5" s="15" t="s">
        <v>79</v>
      </c>
      <c r="B5" s="15" t="s">
        <v>197</v>
      </c>
      <c r="C5" s="16" t="s">
        <v>176</v>
      </c>
      <c r="D5" s="16"/>
      <c r="E5" s="16"/>
    </row>
    <row r="6" spans="1:5" ht="17.25" thickBot="1" x14ac:dyDescent="0.3">
      <c r="A6" s="15" t="s">
        <v>30</v>
      </c>
      <c r="B6" s="15" t="s">
        <v>195</v>
      </c>
      <c r="C6" s="16" t="s">
        <v>177</v>
      </c>
      <c r="D6" s="16"/>
      <c r="E6" s="16"/>
    </row>
    <row r="7" spans="1:5" ht="17.25" thickBot="1" x14ac:dyDescent="0.3">
      <c r="A7" s="15" t="s">
        <v>150</v>
      </c>
      <c r="B7" s="15" t="s">
        <v>198</v>
      </c>
      <c r="C7" s="16" t="s">
        <v>178</v>
      </c>
      <c r="D7" s="16"/>
      <c r="E7" s="16"/>
    </row>
    <row r="8" spans="1:5" ht="17.25" thickBot="1" x14ac:dyDescent="0.3">
      <c r="A8" s="15" t="s">
        <v>91</v>
      </c>
      <c r="B8" s="15" t="s">
        <v>197</v>
      </c>
      <c r="C8" s="16" t="s">
        <v>179</v>
      </c>
      <c r="D8" s="16"/>
      <c r="E8" s="16"/>
    </row>
    <row r="9" spans="1:5" ht="17.25" thickBot="1" x14ac:dyDescent="0.3">
      <c r="A9" s="15" t="s">
        <v>22</v>
      </c>
      <c r="B9" s="15" t="s">
        <v>197</v>
      </c>
      <c r="C9" s="16" t="s">
        <v>180</v>
      </c>
      <c r="D9" s="16"/>
      <c r="E9" s="16"/>
    </row>
    <row r="10" spans="1:5" ht="17.25" thickBot="1" x14ac:dyDescent="0.3">
      <c r="A10" s="15" t="s">
        <v>45</v>
      </c>
      <c r="B10" s="15" t="s">
        <v>198</v>
      </c>
      <c r="C10" s="16" t="s">
        <v>181</v>
      </c>
      <c r="D10" s="16"/>
      <c r="E10" s="16"/>
    </row>
    <row r="11" spans="1:5" ht="17.25" thickBot="1" x14ac:dyDescent="0.3">
      <c r="A11" s="15" t="s">
        <v>138</v>
      </c>
      <c r="B11" s="15" t="s">
        <v>197</v>
      </c>
      <c r="C11" s="16" t="s">
        <v>182</v>
      </c>
      <c r="D11" s="16"/>
      <c r="E11" s="16"/>
    </row>
    <row r="12" spans="1:5" ht="17.25" thickBot="1" x14ac:dyDescent="0.3">
      <c r="A12" s="15" t="s">
        <v>59</v>
      </c>
      <c r="B12" s="15" t="s">
        <v>198</v>
      </c>
      <c r="C12" s="16" t="s">
        <v>183</v>
      </c>
      <c r="D12" s="16"/>
      <c r="E12" s="16"/>
    </row>
    <row r="13" spans="1:5" ht="17.25" thickBot="1" x14ac:dyDescent="0.3">
      <c r="A13" s="15" t="s">
        <v>75</v>
      </c>
      <c r="B13" s="15" t="s">
        <v>198</v>
      </c>
      <c r="C13" s="16" t="s">
        <v>184</v>
      </c>
      <c r="D13" s="16"/>
      <c r="E13" s="16"/>
    </row>
    <row r="14" spans="1:5" ht="17.25" thickBot="1" x14ac:dyDescent="0.3">
      <c r="A14" s="15" t="s">
        <v>185</v>
      </c>
      <c r="B14" s="15" t="s">
        <v>198</v>
      </c>
      <c r="C14" s="16" t="s">
        <v>186</v>
      </c>
      <c r="D14" s="16"/>
      <c r="E14" s="16"/>
    </row>
    <row r="15" spans="1:5" ht="17.25" thickBot="1" x14ac:dyDescent="0.3">
      <c r="A15" s="15" t="s">
        <v>54</v>
      </c>
      <c r="B15" s="15" t="s">
        <v>197</v>
      </c>
      <c r="C15" s="16" t="s">
        <v>187</v>
      </c>
      <c r="D15" s="16"/>
      <c r="E15" s="16"/>
    </row>
    <row r="16" spans="1:5" ht="17.25" thickBot="1" x14ac:dyDescent="0.3">
      <c r="A16" s="15" t="s">
        <v>188</v>
      </c>
      <c r="B16" s="15" t="s">
        <v>197</v>
      </c>
      <c r="C16" s="16" t="s">
        <v>189</v>
      </c>
      <c r="D16" s="16"/>
      <c r="E16" s="16"/>
    </row>
    <row r="17" spans="1:5" ht="17.25" thickBot="1" x14ac:dyDescent="0.3">
      <c r="A17" s="15" t="s">
        <v>39</v>
      </c>
      <c r="B17" s="15" t="s">
        <v>196</v>
      </c>
      <c r="C17" s="16" t="s">
        <v>190</v>
      </c>
      <c r="D17" s="16"/>
      <c r="E17" s="16"/>
    </row>
    <row r="18" spans="1:5" ht="17.25" thickBot="1" x14ac:dyDescent="0.3">
      <c r="A18" s="15" t="s">
        <v>191</v>
      </c>
      <c r="B18" s="15" t="s">
        <v>196</v>
      </c>
      <c r="C18" s="16" t="s">
        <v>192</v>
      </c>
      <c r="D18" s="16"/>
      <c r="E18" s="16"/>
    </row>
    <row r="19" spans="1:5" ht="17.25" thickBot="1" x14ac:dyDescent="0.3">
      <c r="A19" s="15" t="s">
        <v>14</v>
      </c>
      <c r="B19" s="15" t="s">
        <v>198</v>
      </c>
      <c r="C19" s="16" t="s">
        <v>193</v>
      </c>
      <c r="D19" s="16"/>
      <c r="E19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65A5C-1746-4B03-9A51-A929157642F9}">
  <dimension ref="A1:J54"/>
  <sheetViews>
    <sheetView tabSelected="1" topLeftCell="A27" workbookViewId="0">
      <selection activeCell="G61" sqref="G61"/>
    </sheetView>
  </sheetViews>
  <sheetFormatPr defaultRowHeight="15" x14ac:dyDescent="0.25"/>
  <cols>
    <col min="1" max="1" width="13.42578125" style="24" bestFit="1" customWidth="1"/>
    <col min="2" max="2" width="16.42578125" style="24" bestFit="1" customWidth="1"/>
    <col min="3" max="3" width="15.7109375" style="24" bestFit="1" customWidth="1"/>
    <col min="4" max="4" width="12.28515625" style="24" bestFit="1" customWidth="1"/>
    <col min="5" max="6" width="9.140625" style="24"/>
    <col min="7" max="7" width="21.7109375" style="24" customWidth="1"/>
    <col min="8" max="8" width="20.42578125" style="24" customWidth="1"/>
    <col min="9" max="9" width="16.42578125" style="24" customWidth="1"/>
    <col min="10" max="10" width="17.140625" style="24" customWidth="1"/>
    <col min="11" max="16384" width="9.140625" style="24"/>
  </cols>
  <sheetData>
    <row r="1" spans="1:10" ht="15.75" x14ac:dyDescent="0.25">
      <c r="A1" s="30" t="s">
        <v>203</v>
      </c>
      <c r="B1" s="30"/>
      <c r="C1" s="30"/>
      <c r="D1" s="30"/>
      <c r="G1" s="32" t="s">
        <v>207</v>
      </c>
      <c r="H1" s="32"/>
    </row>
    <row r="2" spans="1:10" s="25" customFormat="1" x14ac:dyDescent="0.25">
      <c r="A2" s="27" t="s">
        <v>0</v>
      </c>
      <c r="B2" s="27" t="s">
        <v>162</v>
      </c>
      <c r="C2" s="27" t="s">
        <v>202</v>
      </c>
      <c r="D2" s="27" t="s">
        <v>199</v>
      </c>
      <c r="G2" s="31" t="s">
        <v>0</v>
      </c>
      <c r="H2" s="4" t="s">
        <v>170</v>
      </c>
    </row>
    <row r="3" spans="1:10" x14ac:dyDescent="0.25">
      <c r="A3" s="24" t="s">
        <v>71</v>
      </c>
      <c r="B3" s="26">
        <v>34525</v>
      </c>
      <c r="C3" s="26">
        <v>28750</v>
      </c>
      <c r="D3" s="25">
        <v>20</v>
      </c>
      <c r="G3" s="1" t="s">
        <v>71</v>
      </c>
      <c r="H3">
        <v>3.9</v>
      </c>
    </row>
    <row r="4" spans="1:10" x14ac:dyDescent="0.25">
      <c r="A4" s="24" t="s">
        <v>164</v>
      </c>
      <c r="B4" s="26">
        <v>51450</v>
      </c>
      <c r="C4" s="26">
        <v>45750</v>
      </c>
      <c r="D4" s="25">
        <v>20</v>
      </c>
      <c r="G4" s="1" t="s">
        <v>164</v>
      </c>
      <c r="H4">
        <v>5.4</v>
      </c>
    </row>
    <row r="5" spans="1:10" x14ac:dyDescent="0.25">
      <c r="A5" s="24" t="s">
        <v>124</v>
      </c>
      <c r="B5" s="26">
        <v>25173.25</v>
      </c>
      <c r="C5" s="26">
        <v>23250</v>
      </c>
      <c r="D5" s="25">
        <v>20</v>
      </c>
      <c r="G5" s="1" t="s">
        <v>124</v>
      </c>
      <c r="H5">
        <v>2.1</v>
      </c>
    </row>
    <row r="6" spans="1:10" x14ac:dyDescent="0.25">
      <c r="A6" s="28" t="s">
        <v>161</v>
      </c>
      <c r="B6" s="29">
        <v>37049.416666666664</v>
      </c>
      <c r="C6" s="29">
        <v>27500</v>
      </c>
      <c r="D6" s="27">
        <v>60</v>
      </c>
      <c r="G6" s="1" t="s">
        <v>161</v>
      </c>
      <c r="H6">
        <v>3.8</v>
      </c>
    </row>
    <row r="10" spans="1:10" ht="15.75" x14ac:dyDescent="0.25">
      <c r="A10" s="32" t="s">
        <v>204</v>
      </c>
      <c r="B10" s="32"/>
      <c r="C10" s="32"/>
      <c r="G10" s="32" t="s">
        <v>210</v>
      </c>
      <c r="H10" s="32"/>
      <c r="I10" s="32"/>
      <c r="J10" s="32"/>
    </row>
    <row r="11" spans="1:10" s="25" customFormat="1" x14ac:dyDescent="0.25">
      <c r="A11" s="43" t="s">
        <v>4</v>
      </c>
      <c r="B11" s="43" t="s">
        <v>162</v>
      </c>
      <c r="C11" s="44" t="s">
        <v>163</v>
      </c>
      <c r="G11" s="45" t="s">
        <v>209</v>
      </c>
      <c r="H11" s="2" t="s">
        <v>208</v>
      </c>
      <c r="I11"/>
      <c r="J11"/>
    </row>
    <row r="12" spans="1:10" x14ac:dyDescent="0.25">
      <c r="A12" s="4" t="s">
        <v>166</v>
      </c>
      <c r="B12" s="3">
        <v>21202.5</v>
      </c>
      <c r="C12" s="4">
        <v>12</v>
      </c>
      <c r="G12" s="31" t="s">
        <v>0</v>
      </c>
      <c r="H12" s="4" t="s">
        <v>11</v>
      </c>
      <c r="I12" s="4" t="s">
        <v>21</v>
      </c>
      <c r="J12" s="4" t="s">
        <v>161</v>
      </c>
    </row>
    <row r="13" spans="1:10" x14ac:dyDescent="0.25">
      <c r="A13" s="4" t="s">
        <v>167</v>
      </c>
      <c r="B13" s="3">
        <v>27424.423076923078</v>
      </c>
      <c r="C13" s="4">
        <v>26</v>
      </c>
      <c r="G13" s="1" t="s">
        <v>71</v>
      </c>
      <c r="H13" s="14">
        <v>0.6</v>
      </c>
      <c r="I13" s="14">
        <v>0.4</v>
      </c>
      <c r="J13" s="14">
        <v>1</v>
      </c>
    </row>
    <row r="14" spans="1:10" x14ac:dyDescent="0.25">
      <c r="A14" s="4" t="s">
        <v>168</v>
      </c>
      <c r="B14" s="3">
        <v>47500</v>
      </c>
      <c r="C14" s="4">
        <v>9</v>
      </c>
      <c r="G14" s="1" t="s">
        <v>164</v>
      </c>
      <c r="H14" s="14">
        <v>0.45</v>
      </c>
      <c r="I14" s="14">
        <v>0.55000000000000004</v>
      </c>
      <c r="J14" s="14">
        <v>1</v>
      </c>
    </row>
    <row r="15" spans="1:10" x14ac:dyDescent="0.25">
      <c r="A15" s="4" t="s">
        <v>169</v>
      </c>
      <c r="B15" s="3">
        <v>63692.307692307695</v>
      </c>
      <c r="C15" s="4">
        <v>13</v>
      </c>
      <c r="G15" s="1" t="s">
        <v>124</v>
      </c>
      <c r="H15" s="14">
        <v>0.85</v>
      </c>
      <c r="I15" s="14">
        <v>0.15</v>
      </c>
      <c r="J15" s="14">
        <v>1</v>
      </c>
    </row>
    <row r="16" spans="1:10" x14ac:dyDescent="0.25">
      <c r="A16" s="1" t="s">
        <v>161</v>
      </c>
      <c r="B16" s="3">
        <v>37049.416666666664</v>
      </c>
      <c r="C16" s="4">
        <v>60</v>
      </c>
      <c r="G16" s="1" t="s">
        <v>161</v>
      </c>
      <c r="H16" s="14">
        <v>0.6333333333333333</v>
      </c>
      <c r="I16" s="14">
        <v>0.36666666666666664</v>
      </c>
      <c r="J16" s="14">
        <v>1</v>
      </c>
    </row>
    <row r="19" spans="1:9" ht="15.75" x14ac:dyDescent="0.25">
      <c r="A19" s="32" t="s">
        <v>205</v>
      </c>
      <c r="B19" s="32"/>
      <c r="C19" s="32"/>
      <c r="G19" s="32" t="s">
        <v>212</v>
      </c>
      <c r="H19" s="32"/>
      <c r="I19" s="32"/>
    </row>
    <row r="20" spans="1:9" x14ac:dyDescent="0.25">
      <c r="A20" s="31" t="s">
        <v>5</v>
      </c>
      <c r="B20" s="31" t="s">
        <v>162</v>
      </c>
      <c r="C20" s="4" t="s">
        <v>163</v>
      </c>
      <c r="G20" s="31" t="s">
        <v>8</v>
      </c>
      <c r="H20" s="31" t="s">
        <v>199</v>
      </c>
      <c r="I20" s="46" t="s">
        <v>211</v>
      </c>
    </row>
    <row r="21" spans="1:9" x14ac:dyDescent="0.25">
      <c r="A21" s="1" t="s">
        <v>11</v>
      </c>
      <c r="B21" s="3">
        <v>31078.026315789473</v>
      </c>
      <c r="C21" s="4">
        <v>38</v>
      </c>
      <c r="G21" s="1" t="s">
        <v>195</v>
      </c>
      <c r="H21">
        <v>11</v>
      </c>
      <c r="I21" s="14">
        <v>0.18333333333333332</v>
      </c>
    </row>
    <row r="22" spans="1:9" x14ac:dyDescent="0.25">
      <c r="A22" s="1" t="s">
        <v>21</v>
      </c>
      <c r="B22" s="3">
        <v>47363.63636363636</v>
      </c>
      <c r="C22" s="4">
        <v>22</v>
      </c>
      <c r="G22" s="1" t="s">
        <v>198</v>
      </c>
      <c r="H22">
        <v>24</v>
      </c>
      <c r="I22" s="14">
        <v>0.4</v>
      </c>
    </row>
    <row r="23" spans="1:9" x14ac:dyDescent="0.25">
      <c r="A23" s="1" t="s">
        <v>161</v>
      </c>
      <c r="B23" s="3">
        <v>37049.416666666664</v>
      </c>
      <c r="C23" s="4">
        <v>60</v>
      </c>
      <c r="G23" s="1" t="s">
        <v>196</v>
      </c>
      <c r="H23">
        <v>6</v>
      </c>
      <c r="I23" s="14">
        <v>0.1</v>
      </c>
    </row>
    <row r="24" spans="1:9" x14ac:dyDescent="0.25">
      <c r="G24" s="1" t="s">
        <v>197</v>
      </c>
      <c r="H24">
        <v>19</v>
      </c>
      <c r="I24" s="14">
        <v>0.31666666666666665</v>
      </c>
    </row>
    <row r="25" spans="1:9" x14ac:dyDescent="0.25">
      <c r="G25" s="1" t="s">
        <v>161</v>
      </c>
      <c r="H25">
        <v>60</v>
      </c>
      <c r="I25" s="14">
        <v>1</v>
      </c>
    </row>
    <row r="26" spans="1:9" ht="15.75" x14ac:dyDescent="0.25">
      <c r="A26" s="34" t="s">
        <v>206</v>
      </c>
      <c r="B26" s="34"/>
      <c r="C26" s="34"/>
    </row>
    <row r="28" spans="1:9" ht="15.75" x14ac:dyDescent="0.25">
      <c r="A28" s="35" t="s">
        <v>165</v>
      </c>
      <c r="B28" s="36" t="s">
        <v>166</v>
      </c>
      <c r="C28" s="37"/>
      <c r="G28" s="32" t="s">
        <v>213</v>
      </c>
      <c r="H28" s="32"/>
    </row>
    <row r="29" spans="1:9" x14ac:dyDescent="0.25">
      <c r="A29" s="8"/>
      <c r="B29" s="5"/>
      <c r="C29" s="9"/>
      <c r="G29" s="31" t="s">
        <v>200</v>
      </c>
      <c r="H29" s="4" t="s">
        <v>162</v>
      </c>
    </row>
    <row r="30" spans="1:9" x14ac:dyDescent="0.25">
      <c r="A30" s="13" t="s">
        <v>160</v>
      </c>
      <c r="B30" s="7" t="s">
        <v>162</v>
      </c>
      <c r="C30" s="38" t="s">
        <v>163</v>
      </c>
      <c r="G30" s="1">
        <v>0</v>
      </c>
      <c r="H30" s="3">
        <v>43258.6</v>
      </c>
    </row>
    <row r="31" spans="1:9" x14ac:dyDescent="0.25">
      <c r="A31" s="10" t="s">
        <v>11</v>
      </c>
      <c r="B31" s="6">
        <v>20857.272727272728</v>
      </c>
      <c r="C31" s="38">
        <v>11</v>
      </c>
      <c r="G31" s="1">
        <v>1</v>
      </c>
      <c r="H31" s="3">
        <v>26526.315789473683</v>
      </c>
    </row>
    <row r="32" spans="1:9" x14ac:dyDescent="0.25">
      <c r="A32" s="10" t="s">
        <v>21</v>
      </c>
      <c r="B32" s="6">
        <v>25000</v>
      </c>
      <c r="C32" s="38">
        <v>1</v>
      </c>
      <c r="G32" s="1">
        <v>2</v>
      </c>
      <c r="H32" s="3">
        <v>39843.75</v>
      </c>
    </row>
    <row r="33" spans="1:8" x14ac:dyDescent="0.25">
      <c r="A33" s="11" t="s">
        <v>161</v>
      </c>
      <c r="B33" s="12">
        <v>21202.5</v>
      </c>
      <c r="C33" s="39">
        <v>12</v>
      </c>
      <c r="G33" s="1" t="s">
        <v>161</v>
      </c>
      <c r="H33" s="3">
        <v>37049.416666666664</v>
      </c>
    </row>
    <row r="34" spans="1:8" x14ac:dyDescent="0.25">
      <c r="A34" s="5"/>
      <c r="B34" s="5"/>
      <c r="C34" s="40"/>
    </row>
    <row r="35" spans="1:8" x14ac:dyDescent="0.25">
      <c r="A35" s="35" t="s">
        <v>165</v>
      </c>
      <c r="B35" s="36" t="s">
        <v>167</v>
      </c>
      <c r="C35" s="41"/>
    </row>
    <row r="36" spans="1:8" x14ac:dyDescent="0.25">
      <c r="A36" s="8"/>
      <c r="B36" s="5"/>
      <c r="C36" s="38"/>
    </row>
    <row r="37" spans="1:8" x14ac:dyDescent="0.25">
      <c r="A37" s="13" t="s">
        <v>160</v>
      </c>
      <c r="B37" s="7" t="s">
        <v>162</v>
      </c>
      <c r="C37" s="38" t="s">
        <v>163</v>
      </c>
    </row>
    <row r="38" spans="1:8" x14ac:dyDescent="0.25">
      <c r="A38" s="10" t="s">
        <v>11</v>
      </c>
      <c r="B38" s="6">
        <v>26149.117647058825</v>
      </c>
      <c r="C38" s="38">
        <v>17</v>
      </c>
    </row>
    <row r="39" spans="1:8" x14ac:dyDescent="0.25">
      <c r="A39" s="10" t="s">
        <v>21</v>
      </c>
      <c r="B39" s="6">
        <v>29833.333333333332</v>
      </c>
      <c r="C39" s="38">
        <v>9</v>
      </c>
    </row>
    <row r="40" spans="1:8" x14ac:dyDescent="0.25">
      <c r="A40" s="11" t="s">
        <v>161</v>
      </c>
      <c r="B40" s="12">
        <v>27424.423076923078</v>
      </c>
      <c r="C40" s="39">
        <v>26</v>
      </c>
    </row>
    <row r="41" spans="1:8" x14ac:dyDescent="0.25">
      <c r="A41" s="5"/>
      <c r="B41" s="5"/>
      <c r="C41" s="40"/>
    </row>
    <row r="42" spans="1:8" x14ac:dyDescent="0.25">
      <c r="A42" s="35" t="s">
        <v>165</v>
      </c>
      <c r="B42" s="36" t="s">
        <v>168</v>
      </c>
      <c r="C42" s="41"/>
    </row>
    <row r="43" spans="1:8" x14ac:dyDescent="0.25">
      <c r="A43" s="8"/>
      <c r="B43" s="5"/>
      <c r="C43" s="38"/>
    </row>
    <row r="44" spans="1:8" x14ac:dyDescent="0.25">
      <c r="A44" s="13" t="s">
        <v>160</v>
      </c>
      <c r="B44" s="7" t="s">
        <v>162</v>
      </c>
      <c r="C44" s="38" t="s">
        <v>163</v>
      </c>
    </row>
    <row r="45" spans="1:8" x14ac:dyDescent="0.25">
      <c r="A45" s="10" t="s">
        <v>11</v>
      </c>
      <c r="B45" s="6">
        <v>52500</v>
      </c>
      <c r="C45" s="38">
        <v>4</v>
      </c>
    </row>
    <row r="46" spans="1:8" x14ac:dyDescent="0.25">
      <c r="A46" s="10" t="s">
        <v>21</v>
      </c>
      <c r="B46" s="6">
        <v>43500</v>
      </c>
      <c r="C46" s="38">
        <v>5</v>
      </c>
    </row>
    <row r="47" spans="1:8" x14ac:dyDescent="0.25">
      <c r="A47" s="11" t="s">
        <v>161</v>
      </c>
      <c r="B47" s="12">
        <v>47500</v>
      </c>
      <c r="C47" s="39">
        <v>9</v>
      </c>
    </row>
    <row r="48" spans="1:8" x14ac:dyDescent="0.25">
      <c r="C48" s="42"/>
    </row>
    <row r="49" spans="1:3" x14ac:dyDescent="0.25">
      <c r="A49" s="35" t="s">
        <v>165</v>
      </c>
      <c r="B49" s="36" t="s">
        <v>169</v>
      </c>
      <c r="C49" s="41"/>
    </row>
    <row r="50" spans="1:3" x14ac:dyDescent="0.25">
      <c r="A50" s="8"/>
      <c r="C50" s="38"/>
    </row>
    <row r="51" spans="1:3" x14ac:dyDescent="0.25">
      <c r="A51" s="13" t="s">
        <v>160</v>
      </c>
      <c r="B51" s="33" t="s">
        <v>162</v>
      </c>
      <c r="C51" s="38" t="s">
        <v>163</v>
      </c>
    </row>
    <row r="52" spans="1:3" x14ac:dyDescent="0.25">
      <c r="A52" s="10" t="s">
        <v>11</v>
      </c>
      <c r="B52" s="26">
        <v>49500</v>
      </c>
      <c r="C52" s="38">
        <v>6</v>
      </c>
    </row>
    <row r="53" spans="1:3" x14ac:dyDescent="0.25">
      <c r="A53" s="10" t="s">
        <v>21</v>
      </c>
      <c r="B53" s="26">
        <v>75857.142857142855</v>
      </c>
      <c r="C53" s="38">
        <v>7</v>
      </c>
    </row>
    <row r="54" spans="1:3" x14ac:dyDescent="0.25">
      <c r="A54" s="11" t="s">
        <v>161</v>
      </c>
      <c r="B54" s="12">
        <v>63692.307692307695</v>
      </c>
      <c r="C54" s="39">
        <v>13</v>
      </c>
    </row>
  </sheetData>
  <mergeCells count="8">
    <mergeCell ref="G28:H28"/>
    <mergeCell ref="A1:D1"/>
    <mergeCell ref="A10:C10"/>
    <mergeCell ref="A19:C19"/>
    <mergeCell ref="A26:C26"/>
    <mergeCell ref="G1:H1"/>
    <mergeCell ref="G10:J10"/>
    <mergeCell ref="G19:I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HK 18 Districts by Area Type</vt:lpstr>
      <vt:lpstr>analysis</vt:lpstr>
    </vt:vector>
  </TitlesOfParts>
  <Company>Disney Hong Kong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Choy, Freda</dc:creator>
  <cp:lastModifiedBy>Choy, Freda</cp:lastModifiedBy>
  <dcterms:created xsi:type="dcterms:W3CDTF">2026-04-20T00:44:50Z</dcterms:created>
  <dcterms:modified xsi:type="dcterms:W3CDTF">2026-04-20T07:46:53Z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2e0584-010f-4004-8a6a-d5c118c8b4bd_Enabled">
    <vt:lpwstr>true</vt:lpwstr>
  </property>
  <property fmtid="{D5CDD505-2E9C-101B-9397-08002B2CF9AE}" pid="3" name="MSIP_Label_c62e0584-010f-4004-8a6a-d5c118c8b4bd_SetDate">
    <vt:lpwstr>2026-04-20T00:44:55Z</vt:lpwstr>
  </property>
  <property fmtid="{D5CDD505-2E9C-101B-9397-08002B2CF9AE}" pid="4" name="MSIP_Label_c62e0584-010f-4004-8a6a-d5c118c8b4bd_Method">
    <vt:lpwstr>Standard</vt:lpwstr>
  </property>
  <property fmtid="{D5CDD505-2E9C-101B-9397-08002B2CF9AE}" pid="5" name="MSIP_Label_c62e0584-010f-4004-8a6a-d5c118c8b4bd_Name">
    <vt:lpwstr>Internal</vt:lpwstr>
  </property>
  <property fmtid="{D5CDD505-2E9C-101B-9397-08002B2CF9AE}" pid="6" name="MSIP_Label_c62e0584-010f-4004-8a6a-d5c118c8b4bd_SiteId">
    <vt:lpwstr>56b731a8-a2ac-4c32-bf6b-616810e913c6</vt:lpwstr>
  </property>
  <property fmtid="{D5CDD505-2E9C-101B-9397-08002B2CF9AE}" pid="7" name="MSIP_Label_c62e0584-010f-4004-8a6a-d5c118c8b4bd_ActionId">
    <vt:lpwstr>65d5e76d-c063-4597-be20-1b252580f714</vt:lpwstr>
  </property>
  <property fmtid="{D5CDD505-2E9C-101B-9397-08002B2CF9AE}" pid="8" name="MSIP_Label_c62e0584-010f-4004-8a6a-d5c118c8b4bd_ContentBits">
    <vt:lpwstr>0</vt:lpwstr>
  </property>
  <property fmtid="{D5CDD505-2E9C-101B-9397-08002B2CF9AE}" pid="9" name="MSIP_Label_c62e0584-010f-4004-8a6a-d5c118c8b4bd_Tag">
    <vt:lpwstr>10, 3, 0, 1</vt:lpwstr>
  </property>
</Properties>
</file>